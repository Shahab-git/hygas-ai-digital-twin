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13_ncr:1_{2A9220B8-BAA9-44A3-A790-AEA54F3BC73A}" xr6:coauthVersionLast="36" xr6:coauthVersionMax="36" xr10:uidLastSave="{00000000-0000-0000-0000-000000000000}"/>
  <bookViews>
    <workbookView xWindow="0" yWindow="0" windowWidth="9570" windowHeight="11940" tabRatio="500" xr2:uid="{00000000-000D-0000-FFFF-FFFF00000000}"/>
  </bookViews>
  <sheets>
    <sheet name="INDEX" sheetId="1" r:id="rId1"/>
    <sheet name="FE-001" sheetId="2" r:id="rId2"/>
    <sheet name="FE-002" sheetId="3" r:id="rId3"/>
    <sheet name="FE-003" sheetId="4" r:id="rId4"/>
    <sheet name="FE-004" sheetId="5" r:id="rId5"/>
    <sheet name="FE-005" sheetId="6" r:id="rId6"/>
    <sheet name="FE-006" sheetId="7" r:id="rId7"/>
    <sheet name="FE-007" sheetId="8" r:id="rId8"/>
    <sheet name="FE-008" sheetId="9" r:id="rId9"/>
    <sheet name="GA-001" sheetId="10" r:id="rId10"/>
    <sheet name="GA-002" sheetId="11" r:id="rId11"/>
    <sheet name="GA-003" sheetId="12" r:id="rId12"/>
    <sheet name="GA-004" sheetId="13" r:id="rId13"/>
    <sheet name="GA-005" sheetId="14" r:id="rId14"/>
    <sheet name="GA-006" sheetId="15" r:id="rId15"/>
    <sheet name="GA-007" sheetId="16" r:id="rId16"/>
    <sheet name="GA-008" sheetId="17" r:id="rId17"/>
    <sheet name="GA-009" sheetId="18" r:id="rId18"/>
    <sheet name="GA-010" sheetId="19" r:id="rId19"/>
    <sheet name="GC-001" sheetId="20" r:id="rId20"/>
    <sheet name="GC-002" sheetId="21" r:id="rId21"/>
    <sheet name="GC-003" sheetId="22" r:id="rId22"/>
    <sheet name="GC-004" sheetId="23" r:id="rId23"/>
    <sheet name="GC-005" sheetId="24" r:id="rId24"/>
    <sheet name="GC-006 " sheetId="25" r:id="rId25"/>
    <sheet name="GC-007" sheetId="26" r:id="rId26"/>
    <sheet name="GC-008" sheetId="27" r:id="rId27"/>
    <sheet name="GC-009" sheetId="28" r:id="rId28"/>
    <sheet name="GC-010" sheetId="29" r:id="rId29"/>
    <sheet name="GC-011" sheetId="30" r:id="rId30"/>
    <sheet name="GC-012" sheetId="31" r:id="rId31"/>
    <sheet name="GC-013" sheetId="32" r:id="rId32"/>
    <sheet name="GC-014" sheetId="33" r:id="rId33"/>
    <sheet name="GC-015" sheetId="34" r:id="rId34"/>
    <sheet name="SA-001" sheetId="35" r:id="rId35"/>
    <sheet name="SA-002" sheetId="36" r:id="rId36"/>
    <sheet name="SA-003" sheetId="37" r:id="rId37"/>
    <sheet name="SA-004" sheetId="38" r:id="rId38"/>
    <sheet name="SA-005" sheetId="39" r:id="rId39"/>
    <sheet name="SA-006" sheetId="40" r:id="rId40"/>
    <sheet name="SA-007" sheetId="41" r:id="rId41"/>
    <sheet name="SA-008" sheetId="42" r:id="rId42"/>
    <sheet name="SA-009" sheetId="43" r:id="rId43"/>
    <sheet name="SA-010" sheetId="44" r:id="rId44"/>
    <sheet name="SA-011" sheetId="45" r:id="rId45"/>
    <sheet name="SA-012" sheetId="46" r:id="rId46"/>
    <sheet name="HB-001" sheetId="47" r:id="rId47"/>
    <sheet name="HB-002" sheetId="48" r:id="rId48"/>
    <sheet name="HB-003" sheetId="49" r:id="rId49"/>
    <sheet name="HB-004" sheetId="50" r:id="rId50"/>
    <sheet name="HB-005" sheetId="51" r:id="rId51"/>
    <sheet name="HB-006" sheetId="52" r:id="rId52"/>
    <sheet name="HB-007" sheetId="53" r:id="rId53"/>
    <sheet name="HB-008" sheetId="54" r:id="rId54"/>
    <sheet name="HB-009" sheetId="55" r:id="rId55"/>
    <sheet name="HB-010" sheetId="56" r:id="rId56"/>
    <sheet name="HB-011" sheetId="57" r:id="rId57"/>
    <sheet name="HB-012" sheetId="58" r:id="rId58"/>
    <sheet name="HB-013" sheetId="59" r:id="rId59"/>
    <sheet name="HB-014" sheetId="60" r:id="rId60"/>
    <sheet name="HB-015" sheetId="61" r:id="rId61"/>
    <sheet name="HB-016" sheetId="62" r:id="rId62"/>
    <sheet name="HB-017" sheetId="63" r:id="rId63"/>
    <sheet name="HB-018" sheetId="64" r:id="rId64"/>
    <sheet name="EU-001" sheetId="65" r:id="rId65"/>
    <sheet name="EU-002" sheetId="66" r:id="rId66"/>
    <sheet name="EU-003" sheetId="67" r:id="rId67"/>
    <sheet name="EU-004" sheetId="68" r:id="rId68"/>
    <sheet name="EU-005" sheetId="69" r:id="rId69"/>
    <sheet name="EU-006" sheetId="70" r:id="rId70"/>
    <sheet name="EU-007" sheetId="71" r:id="rId71"/>
    <sheet name="EU-008" sheetId="72" r:id="rId72"/>
    <sheet name="EU-009" sheetId="73" r:id="rId73"/>
    <sheet name="EU-010" sheetId="74" r:id="rId74"/>
    <sheet name="EU-011" sheetId="75" r:id="rId75"/>
    <sheet name="EU-012" sheetId="76" r:id="rId76"/>
    <sheet name="EU-013" sheetId="77" r:id="rId77"/>
    <sheet name="AI-001" sheetId="78" r:id="rId78"/>
    <sheet name="AI-002" sheetId="79" r:id="rId79"/>
    <sheet name="AI-003" sheetId="80" r:id="rId80"/>
    <sheet name="AI-004" sheetId="81" r:id="rId81"/>
    <sheet name="AI-005" sheetId="82" r:id="rId82"/>
    <sheet name="AI-006" sheetId="83" r:id="rId83"/>
    <sheet name="AI-007" sheetId="84" r:id="rId84"/>
    <sheet name="AI-008" sheetId="85" r:id="rId85"/>
    <sheet name="AI-009" sheetId="86" r:id="rId86"/>
    <sheet name="AI-010" sheetId="87" r:id="rId87"/>
    <sheet name="AI-011" sheetId="88" r:id="rId88"/>
    <sheet name="AI-012" sheetId="89" r:id="rId89"/>
    <sheet name="AI-013" sheetId="90" r:id="rId90"/>
    <sheet name="AI-014" sheetId="91" r:id="rId91"/>
    <sheet name="AI-015" sheetId="92" r:id="rId92"/>
  </sheets>
  <calcPr calcId="191029" iterateDelta="1E-4"/>
</workbook>
</file>

<file path=xl/calcChain.xml><?xml version="1.0" encoding="utf-8"?>
<calcChain xmlns="http://schemas.openxmlformats.org/spreadsheetml/2006/main">
  <c r="D13" i="77" l="1"/>
  <c r="D15" i="64"/>
  <c r="D15" i="63"/>
  <c r="D15" i="62"/>
  <c r="D15" i="61"/>
  <c r="D15" i="60"/>
  <c r="D16" i="3"/>
  <c r="D15" i="92" l="1"/>
  <c r="C16" i="91"/>
  <c r="C16" i="80" l="1"/>
  <c r="C16" i="28" l="1"/>
  <c r="C16" i="6"/>
  <c r="C17" i="90" l="1"/>
  <c r="C18" i="89"/>
  <c r="C17" i="88"/>
  <c r="C17" i="87"/>
  <c r="C17" i="86"/>
  <c r="C18" i="85"/>
  <c r="C18" i="84"/>
  <c r="C17" i="83"/>
  <c r="C16" i="82"/>
  <c r="C20" i="81"/>
  <c r="C17" i="79"/>
  <c r="C16" i="78"/>
  <c r="C19" i="76"/>
  <c r="C16" i="75"/>
  <c r="C17" i="74"/>
  <c r="C16" i="73"/>
  <c r="C17" i="72"/>
  <c r="C17" i="71"/>
  <c r="C17" i="70"/>
  <c r="C18" i="69"/>
  <c r="C17" i="68"/>
  <c r="C19" i="67"/>
  <c r="C17" i="66"/>
  <c r="C14" i="65"/>
  <c r="C19" i="59"/>
  <c r="C18" i="58"/>
  <c r="C19" i="57"/>
  <c r="C22" i="56"/>
  <c r="C15" i="55"/>
  <c r="C15" i="54"/>
  <c r="C15" i="53"/>
  <c r="C16" i="52"/>
  <c r="C15" i="51"/>
  <c r="C16" i="50"/>
  <c r="C17" i="49"/>
  <c r="C15" i="48"/>
  <c r="C16" i="47"/>
  <c r="C14" i="46"/>
  <c r="C14" i="45"/>
  <c r="C15" i="44"/>
  <c r="C15" i="43"/>
  <c r="C17" i="42"/>
  <c r="C14" i="41"/>
  <c r="C15" i="40"/>
  <c r="C13" i="39"/>
  <c r="C15" i="38"/>
  <c r="C15" i="37"/>
  <c r="C16" i="36"/>
  <c r="C17" i="35"/>
  <c r="C16" i="34"/>
  <c r="C15" i="33"/>
  <c r="C16" i="32"/>
  <c r="C16" i="31"/>
  <c r="C14" i="30"/>
  <c r="C17" i="29"/>
  <c r="C18" i="27"/>
  <c r="C15" i="26"/>
  <c r="C16" i="25"/>
  <c r="C15" i="24"/>
  <c r="C16" i="23"/>
  <c r="C16" i="22"/>
  <c r="C15" i="21"/>
  <c r="C14" i="20"/>
  <c r="C16" i="19"/>
  <c r="C16" i="18"/>
  <c r="C16" i="17"/>
  <c r="C16" i="16"/>
  <c r="C16" i="15"/>
  <c r="C16" i="14"/>
  <c r="C15" i="13"/>
  <c r="C17" i="12"/>
  <c r="C15" i="11"/>
  <c r="C21" i="10"/>
  <c r="C16" i="9"/>
  <c r="C16" i="8"/>
  <c r="C16" i="7"/>
  <c r="C17" i="5"/>
  <c r="C17" i="4"/>
  <c r="E96" i="1"/>
</calcChain>
</file>

<file path=xl/sharedStrings.xml><?xml version="1.0" encoding="utf-8"?>
<sst xmlns="http://schemas.openxmlformats.org/spreadsheetml/2006/main" count="3775" uniqueCount="2114">
  <si>
    <t>MSW Gasification — Equipment Datasheet Workbook</t>
  </si>
  <si>
    <t>Click any equipment name to open its parameter sheet</t>
  </si>
  <si>
    <t>#</t>
  </si>
  <si>
    <t>Equipment ID</t>
  </si>
  <si>
    <t>Equipment Name</t>
  </si>
  <si>
    <t>Category</t>
  </si>
  <si>
    <t>Parameters</t>
  </si>
  <si>
    <t>FE-001</t>
  </si>
  <si>
    <t>MSW Receiving Hopper</t>
  </si>
  <si>
    <t>Feed &amp; Gasification</t>
  </si>
  <si>
    <t>FE-008</t>
  </si>
  <si>
    <t>Magnetic &amp; Eddy Current Separator</t>
  </si>
  <si>
    <t>FE-002</t>
  </si>
  <si>
    <t>Weighing Conveyor</t>
  </si>
  <si>
    <t>FE-003</t>
  </si>
  <si>
    <t>Shredder / Size Reducer</t>
  </si>
  <si>
    <t>FE-007</t>
  </si>
  <si>
    <t>Feed Dryer (Rotary/Belt)</t>
  </si>
  <si>
    <t>Moisture Analyser</t>
  </si>
  <si>
    <t>FE-005</t>
  </si>
  <si>
    <t>Feed Screw / Ram Feeder</t>
  </si>
  <si>
    <t>FE-006</t>
  </si>
  <si>
    <t>Air-lock / Rotary Valve</t>
  </si>
  <si>
    <t>GA-001</t>
  </si>
  <si>
    <t>Gasifier Vessel (Reactor)</t>
  </si>
  <si>
    <t>GA-002</t>
  </si>
  <si>
    <t>Gasifier Vessel (Pressure)</t>
  </si>
  <si>
    <t>GA-003</t>
  </si>
  <si>
    <t>Air/Steam Injection (Flow)</t>
  </si>
  <si>
    <t>GA-004</t>
  </si>
  <si>
    <t>Air/Steam Injection (Temp)</t>
  </si>
  <si>
    <t>GA-005</t>
  </si>
  <si>
    <t>Bed Drain / Ash Discharge System</t>
  </si>
  <si>
    <t>GA-006</t>
  </si>
  <si>
    <t>Char / Ash Conveyor</t>
  </si>
  <si>
    <t>GA-007</t>
  </si>
  <si>
    <t>Char Collection Bin</t>
  </si>
  <si>
    <t>GA-008</t>
  </si>
  <si>
    <t>Carbon Black Recovery &amp; Classification Unit</t>
  </si>
  <si>
    <t>GA-009</t>
  </si>
  <si>
    <t>Ash Aggregate Processing &amp; Packaging Unit</t>
  </si>
  <si>
    <t>GA-010</t>
  </si>
  <si>
    <t>Carbon Black Packaging &amp; Storage Silo</t>
  </si>
  <si>
    <t>GC-001</t>
  </si>
  <si>
    <t>Primary Cyclone (Temp)</t>
  </si>
  <si>
    <t>Gas Cleaning</t>
  </si>
  <si>
    <t>GC-002</t>
  </si>
  <si>
    <t>Primary Cyclone (ΔP)</t>
  </si>
  <si>
    <t>GC-003</t>
  </si>
  <si>
    <t>Secondary Cyclone</t>
  </si>
  <si>
    <t>GC-004</t>
  </si>
  <si>
    <t>Quench Tower (Temp)</t>
  </si>
  <si>
    <t>GC-005</t>
  </si>
  <si>
    <t>Quench Tower (Water)</t>
  </si>
  <si>
    <t>GC-008</t>
  </si>
  <si>
    <t>Tar Removal Unit</t>
  </si>
  <si>
    <t>GC-007</t>
  </si>
  <si>
    <t>Wet Scrubber (Tar)</t>
  </si>
  <si>
    <t>GC-006</t>
  </si>
  <si>
    <t>Wet Scrubber (H₂S)</t>
  </si>
  <si>
    <t>GC-015</t>
  </si>
  <si>
    <t>HCl Scrubber (Alkaline)</t>
  </si>
  <si>
    <t>GC-010</t>
  </si>
  <si>
    <t>Bag Filter (Dust)</t>
  </si>
  <si>
    <t>GC-011</t>
  </si>
  <si>
    <t>Bag Filter (ΔP)</t>
  </si>
  <si>
    <t>GC-009</t>
  </si>
  <si>
    <t>Activated Carbon Filter</t>
  </si>
  <si>
    <t>GC-012</t>
  </si>
  <si>
    <t>Gas Blower / ID Fan (Flow)</t>
  </si>
  <si>
    <t>GC-013</t>
  </si>
  <si>
    <t>Gas Blower (Pressure)</t>
  </si>
  <si>
    <t>GC-014</t>
  </si>
  <si>
    <t>Condensate Tank</t>
  </si>
  <si>
    <t>SA-001</t>
  </si>
  <si>
    <t>Gas Analyser (H₂)</t>
  </si>
  <si>
    <t>Syngas Analysis</t>
  </si>
  <si>
    <t>SA-002</t>
  </si>
  <si>
    <t>Gas Analyser (CO)</t>
  </si>
  <si>
    <t>SA-003</t>
  </si>
  <si>
    <t>Gas Analyser (CO₂)</t>
  </si>
  <si>
    <t>SA-004</t>
  </si>
  <si>
    <t>Gas Analyser (CH₄)</t>
  </si>
  <si>
    <t>SA-005</t>
  </si>
  <si>
    <t>Gas Analyser (N₂)</t>
  </si>
  <si>
    <t>SA-006</t>
  </si>
  <si>
    <t>Gas Calorimeter / LHV</t>
  </si>
  <si>
    <t>SA-007</t>
  </si>
  <si>
    <t>Tar Sampling Port</t>
  </si>
  <si>
    <t>SA-008</t>
  </si>
  <si>
    <t>H₂S / COS Analyser</t>
  </si>
  <si>
    <t>SA-009</t>
  </si>
  <si>
    <t>Dust / Particulate Monitor</t>
  </si>
  <si>
    <t>SA-010</t>
  </si>
  <si>
    <t>Gas Flow Meter (Clean)</t>
  </si>
  <si>
    <t>SA-011</t>
  </si>
  <si>
    <t>Gas Temperature Sensor</t>
  </si>
  <si>
    <t>SA-012</t>
  </si>
  <si>
    <t>Gas Pressure Sensor</t>
  </si>
  <si>
    <t>HB-001</t>
  </si>
  <si>
    <t>WGS Reactor HTS (Temp)</t>
  </si>
  <si>
    <t>H2 Boosting &amp; Purification</t>
  </si>
  <si>
    <t>HB-002</t>
  </si>
  <si>
    <t>WGS Reactor HTS (CO Conv.)</t>
  </si>
  <si>
    <t>HB-005</t>
  </si>
  <si>
    <t>Heat Exchanger (WGS)</t>
  </si>
  <si>
    <t>HB-003</t>
  </si>
  <si>
    <t>WGS Reactor LTS</t>
  </si>
  <si>
    <t>HB-004</t>
  </si>
  <si>
    <t>Steam Generator (WGS)</t>
  </si>
  <si>
    <t>HB-006</t>
  </si>
  <si>
    <t>PSA Unit (H₂ Purity)</t>
  </si>
  <si>
    <t>HB-007</t>
  </si>
  <si>
    <t>PSA Unit (H₂ Recovery)</t>
  </si>
  <si>
    <t>HB-008</t>
  </si>
  <si>
    <t>PSA Unit (Pressure)</t>
  </si>
  <si>
    <t>HB-009</t>
  </si>
  <si>
    <t>PSA Tail Gas Handler</t>
  </si>
  <si>
    <t>HB-010</t>
  </si>
  <si>
    <t>Membrane Separator</t>
  </si>
  <si>
    <t>HB-011</t>
  </si>
  <si>
    <t>Electrolyser (Green H₂) — Auxiliary/Optional</t>
  </si>
  <si>
    <t>HB-012</t>
  </si>
  <si>
    <t>H₂ Compressor</t>
  </si>
  <si>
    <t>HB-013</t>
  </si>
  <si>
    <t>H₂ Storage Vessel</t>
  </si>
  <si>
    <t>HB-014</t>
  </si>
  <si>
    <t>LOHC Hydrogenation / Loading Reactor</t>
  </si>
  <si>
    <t>HB-015</t>
  </si>
  <si>
    <t>LOHC Storage Tank (Lean/Rich Oil)</t>
  </si>
  <si>
    <t>HB-016</t>
  </si>
  <si>
    <t>LOHC Dehydrogenation Unit — Auxiliary/Optional</t>
  </si>
  <si>
    <t>HB-018</t>
  </si>
  <si>
    <t>H₂ Purification (Post-LOHC Dehydrogenation)</t>
  </si>
  <si>
    <t>HB-017</t>
  </si>
  <si>
    <t>H₂ Dispensing Station (Mobility/FCEV Refuelling)</t>
  </si>
  <si>
    <t>EU-001</t>
  </si>
  <si>
    <t>SOFC Stack (Temp)</t>
  </si>
  <si>
    <t>Energy Utilisation</t>
  </si>
  <si>
    <t>EU-002</t>
  </si>
  <si>
    <t>SOFC Stack (Efficiency)</t>
  </si>
  <si>
    <t>EU-003</t>
  </si>
  <si>
    <t>Gas Engine / Genset (Power)</t>
  </si>
  <si>
    <t>EU-004</t>
  </si>
  <si>
    <t>Gas Engine (Thermal Eff.)</t>
  </si>
  <si>
    <t>EU-005</t>
  </si>
  <si>
    <t>Microturbine</t>
  </si>
  <si>
    <t>EU-010</t>
  </si>
  <si>
    <t>H₂ Fuel Cell (Stationary)</t>
  </si>
  <si>
    <t>EU-008</t>
  </si>
  <si>
    <t>Flare / Emergency Burner</t>
  </si>
  <si>
    <t>EU-011</t>
  </si>
  <si>
    <t>Cooling Tower</t>
  </si>
  <si>
    <t>EU-009</t>
  </si>
  <si>
    <t>Electrical Metering (Grid)</t>
  </si>
  <si>
    <t>EU-012</t>
  </si>
  <si>
    <t>UPS / Battery Buffer</t>
  </si>
  <si>
    <t>EU-006</t>
  </si>
  <si>
    <t>Heat Recovery Unit</t>
  </si>
  <si>
    <t>EU-007</t>
  </si>
  <si>
    <t>District Heating HX</t>
  </si>
  <si>
    <t>EU-013</t>
  </si>
  <si>
    <t>Thermal Energy Metering (District Heat)</t>
  </si>
  <si>
    <t>AI-010</t>
  </si>
  <si>
    <t>Weather Station</t>
  </si>
  <si>
    <t>AI Control &amp; Instruments</t>
  </si>
  <si>
    <t>AI-011</t>
  </si>
  <si>
    <t>Camera / Vision System</t>
  </si>
  <si>
    <t>AI-013</t>
  </si>
  <si>
    <t>Bed Pressure-Drop Sensor</t>
  </si>
  <si>
    <t>AI-001</t>
  </si>
  <si>
    <t>PLC (Main Control)</t>
  </si>
  <si>
    <t>AI-003</t>
  </si>
  <si>
    <t>OPC-UA Gateway</t>
  </si>
  <si>
    <t>AI-004</t>
  </si>
  <si>
    <t>MQTT Broker</t>
  </si>
  <si>
    <t>AI-002</t>
  </si>
  <si>
    <t>DCS / SCADA Server</t>
  </si>
  <si>
    <t>AI-005</t>
  </si>
  <si>
    <t>Edge Computing Server</t>
  </si>
  <si>
    <t>AI-012</t>
  </si>
  <si>
    <t>Cybersecurity Firewall (ICS)</t>
  </si>
  <si>
    <t>AI-006</t>
  </si>
  <si>
    <t>Cloud IoT Hub</t>
  </si>
  <si>
    <t>AI-007</t>
  </si>
  <si>
    <t>Time-Series Database</t>
  </si>
  <si>
    <t>AI-008</t>
  </si>
  <si>
    <t>AI Model Server (MPC/RL)</t>
  </si>
  <si>
    <t>AI-009</t>
  </si>
  <si>
    <t>Digital Twin Engine</t>
  </si>
  <si>
    <t>AI-014</t>
  </si>
  <si>
    <t>Multi-Module Orchestration Controller</t>
  </si>
  <si>
    <t>AI-015</t>
  </si>
  <si>
    <t>RFNBO Compliance &amp; Guarantee-of-Origin Monitor — Auxiliary/Optional</t>
  </si>
  <si>
    <t>91</t>
  </si>
  <si>
    <t>Total equipment items</t>
  </si>
  <si>
    <t>FE-001 — MSW Receiving Hopper</t>
  </si>
  <si>
    <t>Category: Feed &amp; Gasification    |    Equipment #1 of 91</t>
  </si>
  <si>
    <t>Parameter</t>
  </si>
  <si>
    <t>Your Value</t>
  </si>
  <si>
    <t>Unit</t>
  </si>
  <si>
    <t>Remarks</t>
  </si>
  <si>
    <t>Total hopper capacity</t>
  </si>
  <si>
    <t>t</t>
  </si>
  <si>
    <t>Sized for ~2 days buffer at 1 tpd nominal, per DOK-ING hot-standby requirement</t>
  </si>
  <si>
    <t>Number of hoppers</t>
  </si>
  <si>
    <t>—</t>
  </si>
  <si>
    <t>Single-module design; redundancy handled at multi-module level (AI-014), not duplicated here</t>
  </si>
  <si>
    <t>Hopper material</t>
  </si>
  <si>
    <t>Carbon steel S355, Hardox 400 wear liner in discharge zone</t>
  </si>
  <si>
    <t>Liner addresses abrasive/heterogeneous MSW wear in the discharge zone specifically</t>
  </si>
  <si>
    <t>Live capacity (usable)</t>
  </si>
  <si>
    <t>85% of total — typical dead-volume margin for this hopper geometry</t>
  </si>
  <si>
    <t>Discharge opening size</t>
  </si>
  <si>
    <t>mm</t>
  </si>
  <si>
    <t>Sized to avoid bridging on pre-shredded feed ahead of FE-002</t>
  </si>
  <si>
    <t>Level sensor type</t>
  </si>
  <si>
    <t>Chosen over ultrasonic — more tolerant of dust buildup over time</t>
  </si>
  <si>
    <t>Level sensor range</t>
  </si>
  <si>
    <t>m</t>
  </si>
  <si>
    <t>Matches hopper height at this capacity</t>
  </si>
  <si>
    <t>Weight sensor (load cell) capacity</t>
  </si>
  <si>
    <t>Hopper self-weight + live load + margin</t>
  </si>
  <si>
    <t>Weight sensor accuracy</t>
  </si>
  <si>
    <t>±0.25</t>
  </si>
  <si>
    <t>% FS</t>
  </si>
  <si>
    <t>Standard industrial grade; tighter accuracy not needed since not custody-transfer metering</t>
  </si>
  <si>
    <t>Operating temperature (ambient)</t>
  </si>
  <si>
    <t>°C</t>
  </si>
  <si>
    <t>Standard outdoor range; confirm once site location is set</t>
  </si>
  <si>
    <t>Dust suppression system</t>
  </si>
  <si>
    <t>Yes</t>
  </si>
  <si>
    <t>Yes/No</t>
  </si>
  <si>
    <t>Standard for open MSW receiving points</t>
  </si>
  <si>
    <t>Vendor / model</t>
  </si>
  <si>
    <t>Datasheet reference</t>
  </si>
  <si>
    <t>&lt;&lt; Back to INDEX</t>
  </si>
  <si>
    <t>Category: Feed &amp; Gasification    |    Equipment #2 of 91</t>
  </si>
  <si>
    <t>Separator type</t>
  </si>
  <si>
    <t>Combined magnetic drum (ferrous) + eddy current separator (non-ferrous)</t>
  </si>
  <si>
    <t>Two-stage: DOK-ING feed mix (plastic, wood, textiles) means non-ferrous tramp (Al/Cu) also needs catching, not just ferrous</t>
  </si>
  <si>
    <t>Design throughput</t>
  </si>
  <si>
    <t>t/h</t>
  </si>
  <si>
    <t>Smallest practical standard unit — real turndown margin over the 41.7 kg/h actual feed rate, not oversizing for its own sake</t>
  </si>
  <si>
    <t>Belt width</t>
  </si>
  <si>
    <t>Matches the smaller standard throughput class</t>
  </si>
  <si>
    <t>Magnetic field strength</t>
  </si>
  <si>
    <t>mT</t>
  </si>
  <si>
    <t>Standard field strength for ferrous tramp-metal duty</t>
  </si>
  <si>
    <t>Target metal fraction</t>
  </si>
  <si>
    <t>Residual ferrous + non-ferrous tramp metal (post-MRF, polishing duty)</t>
  </si>
  <si>
    <t>Polishing catch, not primary recovery — DOK-ING's feed is already pre-sorted at the MRF</t>
  </si>
  <si>
    <t>Removal efficiency</t>
  </si>
  <si>
    <t>&gt;98</t>
  </si>
  <si>
    <t>%</t>
  </si>
  <si>
    <t>Standard for this duty when feed is already largely metal-free going in</t>
  </si>
  <si>
    <t>Drive power</t>
  </si>
  <si>
    <t>kW</t>
  </si>
  <si>
    <t>Standard drive power for a small unit</t>
  </si>
  <si>
    <t>Installation position</t>
  </si>
  <si>
    <t>Between FE-001 (Hopper) and FE-003 (Shredder)</t>
  </si>
  <si>
    <t>Positioned specifically to protect FE-003 shredder blades — the equipment most vulnerable to tramp metal damage</t>
  </si>
  <si>
    <t>Category: Feed &amp; Gasification    |    Equipment #3 of 91</t>
  </si>
  <si>
    <t>Nominal feed rate</t>
  </si>
  <si>
    <t>Min feed rate</t>
  </si>
  <si>
    <t>Max feed rate</t>
  </si>
  <si>
    <t>Belt speed range</t>
  </si>
  <si>
    <t>m/s</t>
  </si>
  <si>
    <t>Drive motor power</t>
  </si>
  <si>
    <t>Weighing accuracy</t>
  </si>
  <si>
    <t>Conveyor length</t>
  </si>
  <si>
    <t>Inclination angle</t>
  </si>
  <si>
    <t>°</t>
  </si>
  <si>
    <t>Category: Feed &amp; Gasification    |    Equipment #4 of 91</t>
  </si>
  <si>
    <t>Throughput capacity</t>
  </si>
  <si>
    <t>Output particle size (max)</t>
  </si>
  <si>
    <t>Rotor speed</t>
  </si>
  <si>
    <t>rpm</t>
  </si>
  <si>
    <t>Number of rotors</t>
  </si>
  <si>
    <t>Rotor material</t>
  </si>
  <si>
    <t>Screen mesh size</t>
  </si>
  <si>
    <t>VSD fitted</t>
  </si>
  <si>
    <t>Overload protection</t>
  </si>
  <si>
    <t>Category: Feed &amp; Gasification    |    Equipment #5 of 91</t>
  </si>
  <si>
    <t>Dryer type</t>
  </si>
  <si>
    <t>Inlet moisture (design)</t>
  </si>
  <si>
    <t>% moisture</t>
  </si>
  <si>
    <t>Outlet moisture (target)</t>
  </si>
  <si>
    <t>Heat source</t>
  </si>
  <si>
    <t>Operating temperature</t>
  </si>
  <si>
    <t>Residence time</t>
  </si>
  <si>
    <t>min</t>
  </si>
  <si>
    <t>Category: Feed &amp; Gasification    |    Equipment #6 of 91</t>
  </si>
  <si>
    <t>Measurement principle</t>
  </si>
  <si>
    <t>Measurement range</t>
  </si>
  <si>
    <t>Accuracy</t>
  </si>
  <si>
    <t>± %</t>
  </si>
  <si>
    <t>Response time</t>
  </si>
  <si>
    <t>s</t>
  </si>
  <si>
    <t>Output signal</t>
  </si>
  <si>
    <t>Installation type</t>
  </si>
  <si>
    <t>Calibration interval</t>
  </si>
  <si>
    <t>months</t>
  </si>
  <si>
    <t>Category: Feed &amp; Gasification    |    Equipment #7 of 91</t>
  </si>
  <si>
    <t>Feed rate range</t>
  </si>
  <si>
    <t>Stroke length (ram)</t>
  </si>
  <si>
    <t>Stroke rate</t>
  </si>
  <si>
    <t>strokes/min</t>
  </si>
  <si>
    <t>Cylinder bore (hydraulic)</t>
  </si>
  <si>
    <t>Operating pressure (hydraulic)</t>
  </si>
  <si>
    <t>bar</t>
  </si>
  <si>
    <t>Position sensor type</t>
  </si>
  <si>
    <t>Sealing type</t>
  </si>
  <si>
    <t>Category: Feed &amp; Gasification    |    Equipment #8 of 91</t>
  </si>
  <si>
    <t>Nominal throughput</t>
  </si>
  <si>
    <t>Rotor speed range</t>
  </si>
  <si>
    <t>Differential sealing pressure</t>
  </si>
  <si>
    <t>mbar</t>
  </si>
  <si>
    <t>Rotor pocket volume</t>
  </si>
  <si>
    <t>L</t>
  </si>
  <si>
    <t>Housing material</t>
  </si>
  <si>
    <t>Seal type</t>
  </si>
  <si>
    <t>GA-001 — Gasifier Vessel (Reactor)</t>
  </si>
  <si>
    <t>Category: Feed &amp; Gasification    |    Equipment #9 of 91</t>
  </si>
  <si>
    <t>Design temperature</t>
  </si>
  <si>
    <t>Operating temperature (typical)</t>
  </si>
  <si>
    <t>Design pressure</t>
  </si>
  <si>
    <t>mbar(g)</t>
  </si>
  <si>
    <t>Operating pressure (typical)</t>
  </si>
  <si>
    <t>Vessel internal diameter</t>
  </si>
  <si>
    <t>Vessel height (total)</t>
  </si>
  <si>
    <t>Refractory lining material</t>
  </si>
  <si>
    <t>Refractory thickness</t>
  </si>
  <si>
    <t>Shell material</t>
  </si>
  <si>
    <t>Number of temperature zones</t>
  </si>
  <si>
    <t>Temperature sensor type</t>
  </si>
  <si>
    <t>Gasifier technology type</t>
  </si>
  <si>
    <t>Residence time (design)</t>
  </si>
  <si>
    <t>GA-002 — Gasifier Vessel (Pressure)</t>
  </si>
  <si>
    <t>Category: Feed &amp; Gasification    |    Equipment #10 of 91</t>
  </si>
  <si>
    <t>Operating pressure range</t>
  </si>
  <si>
    <t>Pressure transmitter type</t>
  </si>
  <si>
    <t>Pressure transmitter range</t>
  </si>
  <si>
    <t>Pressure transmitter accuracy</t>
  </si>
  <si>
    <t>Safety relief valve set pressure</t>
  </si>
  <si>
    <t>Number of pressure taps</t>
  </si>
  <si>
    <t>Vendor / model (transmitter)</t>
  </si>
  <si>
    <t>GA-003 — Air/Steam Injection (Flow)</t>
  </si>
  <si>
    <t>Category: Feed &amp; Gasification    |    Equipment #11 of 91</t>
  </si>
  <si>
    <t>Primary air flow rate (design)</t>
  </si>
  <si>
    <t>Nm³/h</t>
  </si>
  <si>
    <t>Steam flow rate (design)</t>
  </si>
  <si>
    <t>kg/h</t>
  </si>
  <si>
    <t>Air-to-fuel equivalence ratio (ER)</t>
  </si>
  <si>
    <t>Air flow meter type</t>
  </si>
  <si>
    <t>Steam flow meter type</t>
  </si>
  <si>
    <t>Air flow meter range</t>
  </si>
  <si>
    <t>Steam flow meter range</t>
  </si>
  <si>
    <t>Number of injection points</t>
  </si>
  <si>
    <t>Injection nozzle material</t>
  </si>
  <si>
    <t>GA-004 — Air/Steam Injection (Temp)</t>
  </si>
  <si>
    <t>Category: Feed &amp; Gasification    |    Equipment #12 of 91</t>
  </si>
  <si>
    <t>Air preheat temperature</t>
  </si>
  <si>
    <t>Steam temperature (design)</t>
  </si>
  <si>
    <t>Steam pressure (design)</t>
  </si>
  <si>
    <t>bar(g)</t>
  </si>
  <si>
    <t>Steam quality</t>
  </si>
  <si>
    <t>Temperature sensor type (air)</t>
  </si>
  <si>
    <t>Temperature sensor type (steam)</t>
  </si>
  <si>
    <t>Control valve type</t>
  </si>
  <si>
    <t>GA-005 — Bed Drain / Ash Discharge System</t>
  </si>
  <si>
    <t>Category: Feed &amp; Gasification    |    Equipment #13 of 91</t>
  </si>
  <si>
    <t>m²</t>
  </si>
  <si>
    <t>Ash discharge rate (design)</t>
  </si>
  <si>
    <t>% of feed</t>
  </si>
  <si>
    <t>Ash cooling method</t>
  </si>
  <si>
    <t>Torque sensor fitted</t>
  </si>
  <si>
    <t>GA-006 — Char / Ash Conveyor</t>
  </si>
  <si>
    <t>Category: Feed &amp; Gasification    |    Equipment #14 of 91</t>
  </si>
  <si>
    <t>Conveyor type</t>
  </si>
  <si>
    <t>Conveyor capacity</t>
  </si>
  <si>
    <t>Char temperature at inlet</t>
  </si>
  <si>
    <t>Conveyor material</t>
  </si>
  <si>
    <t>Cooling method</t>
  </si>
  <si>
    <t>Length</t>
  </si>
  <si>
    <t>Mass flow sensor type</t>
  </si>
  <si>
    <t>GA-007 — Char Collection Bin</t>
  </si>
  <si>
    <t>Category: Feed &amp; Gasification    |    Equipment #15 of 91</t>
  </si>
  <si>
    <t>Bin volume</t>
  </si>
  <si>
    <t>m³</t>
  </si>
  <si>
    <t>Bin material</t>
  </si>
  <si>
    <t>Insulation fitted</t>
  </si>
  <si>
    <t>Dust filter / vent</t>
  </si>
  <si>
    <t>Discharge valve type</t>
  </si>
  <si>
    <t>GA-008 — Carbon Black Recovery &amp; Classification Unit</t>
  </si>
  <si>
    <t>Category: Feed &amp; Gasification    |    Equipment #16 of 91</t>
  </si>
  <si>
    <t>Separation method</t>
  </si>
  <si>
    <t>Design capacity</t>
  </si>
  <si>
    <t>Particle size cut point</t>
  </si>
  <si>
    <t>µm</t>
  </si>
  <si>
    <t>Collection efficiency</t>
  </si>
  <si>
    <t>Storage/packaging type</t>
  </si>
  <si>
    <t>Product ash content</t>
  </si>
  <si>
    <t>wt%</t>
  </si>
  <si>
    <t>Dust explosion protection (ATEX)</t>
  </si>
  <si>
    <t>GA-009 — Ash Aggregate Processing &amp; Packaging Unit</t>
  </si>
  <si>
    <t>Category: Feed &amp; Gasification    |    Equipment #17 of 91</t>
  </si>
  <si>
    <t>Processing method</t>
  </si>
  <si>
    <t>Product size grade</t>
  </si>
  <si>
    <t>Leachate stabilization additive</t>
  </si>
  <si>
    <t>Compressive strength (product)</t>
  </si>
  <si>
    <t>MPa</t>
  </si>
  <si>
    <t>Applicable standard</t>
  </si>
  <si>
    <t>Dust suppression</t>
  </si>
  <si>
    <t>GA-010 — Carbon Black Packaging &amp; Storage Silo</t>
  </si>
  <si>
    <t>Category: Feed &amp; Gasification    |    Equipment #18 of 91</t>
  </si>
  <si>
    <t>Storage type</t>
  </si>
  <si>
    <t>Storage capacity</t>
  </si>
  <si>
    <t>Packaging format</t>
  </si>
  <si>
    <t>Product grade target</t>
  </si>
  <si>
    <t>Inert gas blanketing</t>
  </si>
  <si>
    <t>Loadout method</t>
  </si>
  <si>
    <t>Moisture content (product)</t>
  </si>
  <si>
    <t>GC-001 — Primary Cyclone (Temp)</t>
  </si>
  <si>
    <t>Category: Gas Cleaning    |    Equipment #19 of 91</t>
  </si>
  <si>
    <t>Inlet gas temperature (design)</t>
  </si>
  <si>
    <t>Outlet gas temperature (design)</t>
  </si>
  <si>
    <t>Number of temperature sensors</t>
  </si>
  <si>
    <t>Cyclone body material</t>
  </si>
  <si>
    <t>Design gas flow rate</t>
  </si>
  <si>
    <t>GC-002 — Primary Cyclone (ΔP)</t>
  </si>
  <si>
    <t>Category: Gas Cleaning    |    Equipment #20 of 91</t>
  </si>
  <si>
    <t>Design pressure drop</t>
  </si>
  <si>
    <t>Operating pressure drop (typical)</t>
  </si>
  <si>
    <t>Differential pressure transmitter range</t>
  </si>
  <si>
    <t>Transmitter accuracy</t>
  </si>
  <si>
    <t>Cut size (d50)</t>
  </si>
  <si>
    <t>Collection efficiency (design)</t>
  </si>
  <si>
    <t>% &gt; d50</t>
  </si>
  <si>
    <t>Dust hopper volume</t>
  </si>
  <si>
    <t>GC-003 — Secondary Cyclone</t>
  </si>
  <si>
    <t>Category: Gas Cleaning    |    Equipment #21 of 91</t>
  </si>
  <si>
    <t>Inlet gas temperature</t>
  </si>
  <si>
    <t>Collection efficiency &gt; 10 µm</t>
  </si>
  <si>
    <t xml:space="preserve">% </t>
  </si>
  <si>
    <t>Number of cyclones (parallel)</t>
  </si>
  <si>
    <t>Dust loading inlet (max)</t>
  </si>
  <si>
    <t>g/Nm³</t>
  </si>
  <si>
    <t>GC-004 — Quench Tower (Temp)</t>
  </si>
  <si>
    <t>Category: Gas Cleaning    |    Equipment #22 of 91</t>
  </si>
  <si>
    <t>Cooling medium</t>
  </si>
  <si>
    <t>Tower height</t>
  </si>
  <si>
    <t>Tower diameter</t>
  </si>
  <si>
    <t>Tower material</t>
  </si>
  <si>
    <t>Number of spray nozzles</t>
  </si>
  <si>
    <t>GC-005 — Quench Tower (Water)</t>
  </si>
  <si>
    <t>Category: Gas Cleaning    |    Equipment #23 of 91</t>
  </si>
  <si>
    <t>Water consumption (design)</t>
  </si>
  <si>
    <t>m³/h</t>
  </si>
  <si>
    <t>Water supply pressure</t>
  </si>
  <si>
    <t>Water supply temperature</t>
  </si>
  <si>
    <t>Flow meter type</t>
  </si>
  <si>
    <t>Flow meter range</t>
  </si>
  <si>
    <t>pH of quench water</t>
  </si>
  <si>
    <t>Blowdown rate</t>
  </si>
  <si>
    <t>Category: Gas Cleaning    |    Equipment #24 of 91</t>
  </si>
  <si>
    <t>Unit type</t>
  </si>
  <si>
    <t>Bed material</t>
  </si>
  <si>
    <t>Bed height</t>
  </si>
  <si>
    <t>Bed diameter</t>
  </si>
  <si>
    <t>Regeneration method</t>
  </si>
  <si>
    <t>Service interval</t>
  </si>
  <si>
    <t>h</t>
  </si>
  <si>
    <t>GC-007 — Wet Scrubber (Tar)</t>
  </si>
  <si>
    <t>Category: Gas Cleaning    |    Equipment #25 of 91</t>
  </si>
  <si>
    <t>Tar inlet concentration (design)</t>
  </si>
  <si>
    <t>Tar outlet concentration (target)</t>
  </si>
  <si>
    <t>mg/Nm³</t>
  </si>
  <si>
    <t>Scrubbing liquid</t>
  </si>
  <si>
    <t>Operating temperature (gas side)</t>
  </si>
  <si>
    <t>Liquid-to-gas ratio</t>
  </si>
  <si>
    <t>L/Nm³</t>
  </si>
  <si>
    <t>Pressure drop (design)</t>
  </si>
  <si>
    <t>Tar analyser type</t>
  </si>
  <si>
    <t>Category: Gas Cleaning    |    Equipment #26 of 91</t>
  </si>
  <si>
    <t>H₂S inlet concentration (design)</t>
  </si>
  <si>
    <t>ppm</t>
  </si>
  <si>
    <t>H₂S outlet concentration (target)</t>
  </si>
  <si>
    <t>Scrubber height</t>
  </si>
  <si>
    <t>Scrubber diameter</t>
  </si>
  <si>
    <t>Packing material / type</t>
  </si>
  <si>
    <t>H₂S analyser (inlet) type</t>
  </si>
  <si>
    <t>H₂S analyser (outlet) type</t>
  </si>
  <si>
    <t>Category: Gas Cleaning    |    Equipment #27 of 91</t>
  </si>
  <si>
    <t>Scrubber type</t>
  </si>
  <si>
    <t>Scrubbing agent</t>
  </si>
  <si>
    <t>Design gas flow</t>
  </si>
  <si>
    <t>Inlet HCl concentration</t>
  </si>
  <si>
    <t>Outlet HCl concentration (target)</t>
  </si>
  <si>
    <t>L/Nm3</t>
  </si>
  <si>
    <t>GC-010 — Bag Filter (Dust)</t>
  </si>
  <si>
    <t>Category: Gas Cleaning    |    Equipment #28 of 91</t>
  </si>
  <si>
    <t>Inlet dust loading</t>
  </si>
  <si>
    <t>Outlet dust loading (design)</t>
  </si>
  <si>
    <t>Filter area</t>
  </si>
  <si>
    <t>Number of bags</t>
  </si>
  <si>
    <t>Bag material</t>
  </si>
  <si>
    <t>Max temperature (peak)</t>
  </si>
  <si>
    <t>Cleaning method</t>
  </si>
  <si>
    <t>Optical dust monitor type</t>
  </si>
  <si>
    <t>GC-011 — Bag Filter (ΔP)</t>
  </si>
  <si>
    <t>Category: Gas Cleaning    |    Equipment #29 of 91</t>
  </si>
  <si>
    <t>Design pressure drop (clean)</t>
  </si>
  <si>
    <t>Design pressure drop (dirty)</t>
  </si>
  <si>
    <t>Cleaning trigger pressure</t>
  </si>
  <si>
    <t>Cleaning air pressure</t>
  </si>
  <si>
    <t>Compressed air consumption</t>
  </si>
  <si>
    <t>Category: Gas Cleaning    |    Equipment #30 of 91</t>
  </si>
  <si>
    <t>H₂S / COS removal target</t>
  </si>
  <si>
    <t>ppm outlet</t>
  </si>
  <si>
    <t>Carbon bed volume</t>
  </si>
  <si>
    <t>Carbon type</t>
  </si>
  <si>
    <t>Breakthrough monitoring</t>
  </si>
  <si>
    <t>Carbon replacement interval</t>
  </si>
  <si>
    <t>Vessel material</t>
  </si>
  <si>
    <t>Category: Gas Cleaning    |    Equipment #31 of 91</t>
  </si>
  <si>
    <t>Min flow rate</t>
  </si>
  <si>
    <t>Max flow rate</t>
  </si>
  <si>
    <t>Fan speed range</t>
  </si>
  <si>
    <t>Motor power</t>
  </si>
  <si>
    <t>Category: Gas Cleaning    |    Equipment #32 of 91</t>
  </si>
  <si>
    <t>Design discharge pressure</t>
  </si>
  <si>
    <t>Design suction pressure</t>
  </si>
  <si>
    <t>Pressure transmitter range (discharge)</t>
  </si>
  <si>
    <t>Pressure transmitter range (suction)</t>
  </si>
  <si>
    <t>Safety relief valve set point</t>
  </si>
  <si>
    <t>Bearing temperature sensor</t>
  </si>
  <si>
    <t>Vibration sensor</t>
  </si>
  <si>
    <t>Category: Gas Cleaning    |    Equipment #33 of 91</t>
  </si>
  <si>
    <t>Tank volume</t>
  </si>
  <si>
    <t>Condensate flow rate (design)</t>
  </si>
  <si>
    <t>pH monitoring</t>
  </si>
  <si>
    <t>Pump type (discharge)</t>
  </si>
  <si>
    <t>Pump flow rate</t>
  </si>
  <si>
    <t>Material</t>
  </si>
  <si>
    <t>Disposal route for condensate</t>
  </si>
  <si>
    <t>SA-001 — Gas Analyser (H₂)</t>
  </si>
  <si>
    <t>Category: Syngas Analysis    |    Equipment #34 of 91</t>
  </si>
  <si>
    <t>vol%</t>
  </si>
  <si>
    <t>Expected H₂ concentration</t>
  </si>
  <si>
    <t>Response time (T90)</t>
  </si>
  <si>
    <t>Calibration gas required</t>
  </si>
  <si>
    <t>Sample conditioning required</t>
  </si>
  <si>
    <t>SA-002 — Gas Analyser (CO)</t>
  </si>
  <si>
    <t>Category: Syngas Analysis    |    Equipment #35 of 91</t>
  </si>
  <si>
    <t>Expected CO concentration</t>
  </si>
  <si>
    <t>Cross-sensitivity (CO₂)</t>
  </si>
  <si>
    <t>SA-003 — Gas Analyser (CO₂)</t>
  </si>
  <si>
    <t>Category: Syngas Analysis    |    Equipment #36 of 91</t>
  </si>
  <si>
    <t>Expected CO₂ concentration</t>
  </si>
  <si>
    <t>SA-004 — Gas Analyser (CH₄)</t>
  </si>
  <si>
    <t>Category: Syngas Analysis    |    Equipment #37 of 91</t>
  </si>
  <si>
    <t>Expected CH₄ concentration</t>
  </si>
  <si>
    <t>SA-005 — Gas Analyser (N₂)</t>
  </si>
  <si>
    <t>Category: Syngas Analysis    |    Equipment #38 of 91</t>
  </si>
  <si>
    <t>Expected N₂ concentration</t>
  </si>
  <si>
    <t>SA-006 — Gas Calorimeter / LHV</t>
  </si>
  <si>
    <t>Category: Syngas Analysis    |    Equipment #39 of 91</t>
  </si>
  <si>
    <t>LHV measurement range</t>
  </si>
  <si>
    <t>MJ/Nm³</t>
  </si>
  <si>
    <t>Expected LHV</t>
  </si>
  <si>
    <t>SA-007 — Tar Sampling Port</t>
  </si>
  <si>
    <t>Category: Syngas Analysis    |    Equipment #40 of 91</t>
  </si>
  <si>
    <t>Sampling method</t>
  </si>
  <si>
    <t>Sampling frequency</t>
  </si>
  <si>
    <t>Expected tar concentration (raw)</t>
  </si>
  <si>
    <t>Expected tar concentration (clean)</t>
  </si>
  <si>
    <t>Port location (P&amp;ID ref)</t>
  </si>
  <si>
    <t>Sample volume per test</t>
  </si>
  <si>
    <t>Analysis lab / method</t>
  </si>
  <si>
    <t>SA-008 — H₂S / COS Analyser</t>
  </si>
  <si>
    <t>Category: Syngas Analysis    |    Equipment #41 of 91</t>
  </si>
  <si>
    <t>H₂S measurement range</t>
  </si>
  <si>
    <t>Expected H₂S concentration</t>
  </si>
  <si>
    <t>COS measurement range</t>
  </si>
  <si>
    <t>Alarm setpoint H₂S</t>
  </si>
  <si>
    <t>SA-009 — Dust / Particulate Monitor</t>
  </si>
  <si>
    <t>Category: Syngas Analysis    |    Equipment #42 of 91</t>
  </si>
  <si>
    <t>Detection limit</t>
  </si>
  <si>
    <t>Operating temperature (gas)</t>
  </si>
  <si>
    <t>Calibration method</t>
  </si>
  <si>
    <t>SA-010 — Gas Flow Meter (Clean)</t>
  </si>
  <si>
    <t>Category: Syngas Analysis    |    Equipment #43 of 91</t>
  </si>
  <si>
    <t>Design flow rate</t>
  </si>
  <si>
    <t>Operating pressure</t>
  </si>
  <si>
    <t>SA-011 — Gas Temperature Sensor</t>
  </si>
  <si>
    <t>Category: Syngas Analysis    |    Equipment #44 of 91</t>
  </si>
  <si>
    <t>Sensor type</t>
  </si>
  <si>
    <t>Insertion length</t>
  </si>
  <si>
    <t>SA-012 — Gas Pressure Sensor</t>
  </si>
  <si>
    <t>Category: Syngas Analysis    |    Equipment #45 of 91</t>
  </si>
  <si>
    <t>Process connection</t>
  </si>
  <si>
    <t>HB-001 — WGS Reactor HTS (Temp)</t>
  </si>
  <si>
    <t>Category: H2 Boosting &amp; Purification    |    Equipment #46 of 91</t>
  </si>
  <si>
    <t>Inlet temperature (design)</t>
  </si>
  <si>
    <t>Outlet temperature (design)</t>
  </si>
  <si>
    <t>Max allowable temperature</t>
  </si>
  <si>
    <t>Catalyst type</t>
  </si>
  <si>
    <t>Catalyst volume</t>
  </si>
  <si>
    <t>Reactor vessel material</t>
  </si>
  <si>
    <t>HB-002 — WGS Reactor HTS (CO Conv.)</t>
  </si>
  <si>
    <t>Category: H2 Boosting &amp; Purification    |    Equipment #47 of 91</t>
  </si>
  <si>
    <t>CO inlet concentration</t>
  </si>
  <si>
    <t>CO outlet concentration (design)</t>
  </si>
  <si>
    <t>CO conversion efficiency</t>
  </si>
  <si>
    <t>Steam-to-CO molar ratio</t>
  </si>
  <si>
    <t>mol/mol</t>
  </si>
  <si>
    <t>Space velocity (GHSV)</t>
  </si>
  <si>
    <t>h⁻¹</t>
  </si>
  <si>
    <t>Catalyst lifetime (design)</t>
  </si>
  <si>
    <t>years</t>
  </si>
  <si>
    <t>CO analyser type</t>
  </si>
  <si>
    <t>Category: H2 Boosting &amp; Purification    |    Equipment #48 of 91</t>
  </si>
  <si>
    <t>Heat exchanger type</t>
  </si>
  <si>
    <t>Hot side inlet temperature</t>
  </si>
  <si>
    <t>Hot side outlet temperature</t>
  </si>
  <si>
    <t>Cold side inlet temperature</t>
  </si>
  <si>
    <t>Cold side outlet temperature</t>
  </si>
  <si>
    <t>Design heat duty</t>
  </si>
  <si>
    <t>Hot side material</t>
  </si>
  <si>
    <t>Cold side material</t>
  </si>
  <si>
    <t>Design pressure (hot side)</t>
  </si>
  <si>
    <t>Category: H2 Boosting &amp; Purification    |    Equipment #49 of 91</t>
  </si>
  <si>
    <t>Sensitivity to sulphur</t>
  </si>
  <si>
    <t>ppm S limit</t>
  </si>
  <si>
    <t>Category: H2 Boosting &amp; Purification    |    Equipment #50 of 91</t>
  </si>
  <si>
    <t>Steam production rate</t>
  </si>
  <si>
    <t>Steam temperature</t>
  </si>
  <si>
    <t>Feed water quality</t>
  </si>
  <si>
    <t>Steam-to-CO ratio</t>
  </si>
  <si>
    <t>HB-006 — PSA Unit (H₂ Purity)</t>
  </si>
  <si>
    <t>Category: H2 Boosting &amp; Purification    |    Equipment #51 of 91</t>
  </si>
  <si>
    <t>H₂ purity (design)</t>
  </si>
  <si>
    <t>H₂ purity (minimum acceptable)</t>
  </si>
  <si>
    <t>Feed gas H₂ content</t>
  </si>
  <si>
    <t>Number of adsorber vessels</t>
  </si>
  <si>
    <t>Adsorbent material</t>
  </si>
  <si>
    <t>H₂ purity analyser type</t>
  </si>
  <si>
    <t>Analyser response time</t>
  </si>
  <si>
    <t>HB-007 — PSA Unit (H₂ Recovery)</t>
  </si>
  <si>
    <t>Category: H2 Boosting &amp; Purification    |    Equipment #52 of 91</t>
  </si>
  <si>
    <t>H₂ recovery rate (design)</t>
  </si>
  <si>
    <t>Feed gas flow rate</t>
  </si>
  <si>
    <t>Product H₂ flow rate</t>
  </si>
  <si>
    <t>Tail gas flow rate</t>
  </si>
  <si>
    <t>Tail gas composition</t>
  </si>
  <si>
    <t>Tail gas LHV</t>
  </si>
  <si>
    <t>Tail gas disposition</t>
  </si>
  <si>
    <t>HB-008 — PSA Unit (Pressure)</t>
  </si>
  <si>
    <t>Category: H2 Boosting &amp; Purification    |    Equipment #53 of 91</t>
  </si>
  <si>
    <t>Adsorption pressure (design)</t>
  </si>
  <si>
    <t>Regeneration pressure</t>
  </si>
  <si>
    <t>Cycle time (adsorption step)</t>
  </si>
  <si>
    <t>Feed compressor required</t>
  </si>
  <si>
    <t>Feed compressor pressure ratio</t>
  </si>
  <si>
    <t>Number of pressure transmitters</t>
  </si>
  <si>
    <t>HB-009 — PSA Tail Gas Handler</t>
  </si>
  <si>
    <t>Category: H2 Boosting &amp; Purification    |    Equipment #54 of 91</t>
  </si>
  <si>
    <t>Tail gas composition (H₂ residual)</t>
  </si>
  <si>
    <t>Tail gas H₂S content</t>
  </si>
  <si>
    <t>Tail gas buffer tank volume</t>
  </si>
  <si>
    <t>Tail gas compressor (if recycled)</t>
  </si>
  <si>
    <t>Tail gas analyser type</t>
  </si>
  <si>
    <t>HB-010 — Membrane Separator</t>
  </si>
  <si>
    <t>Category: H2 Boosting &amp; Purification    |    Equipment #55 of 91</t>
  </si>
  <si>
    <t>Membrane type</t>
  </si>
  <si>
    <t>Membrane material</t>
  </si>
  <si>
    <t>Feed gas H₂ partial pressure</t>
  </si>
  <si>
    <t>Permeate H₂ purity</t>
  </si>
  <si>
    <t>H₂ permeance</t>
  </si>
  <si>
    <t>GPU</t>
  </si>
  <si>
    <t>H₂ recovery rate</t>
  </si>
  <si>
    <t>Max allowable H₂S</t>
  </si>
  <si>
    <t>Membrane area</t>
  </si>
  <si>
    <t>Number of membrane modules</t>
  </si>
  <si>
    <t>Pressure drop across membrane</t>
  </si>
  <si>
    <t>Membrane lifetime</t>
  </si>
  <si>
    <t>HB-011 — Electrolyser (Green H₂) — Auxiliary/Optional</t>
  </si>
  <si>
    <t>Category: H2 Boosting &amp; Purification    |    Equipment #56 of 91</t>
  </si>
  <si>
    <t>Electrolyser type</t>
  </si>
  <si>
    <t>Rated power input</t>
  </si>
  <si>
    <t>H₂ production rate (rated)</t>
  </si>
  <si>
    <t>H₂ purity (outlet)</t>
  </si>
  <si>
    <t>System efficiency</t>
  </si>
  <si>
    <t>kWh/Nm³ H₂</t>
  </si>
  <si>
    <t>Operating pressure (H₂ side)</t>
  </si>
  <si>
    <t>Water consumption</t>
  </si>
  <si>
    <t>L/Nm³ H₂</t>
  </si>
  <si>
    <t>Water quality required</t>
  </si>
  <si>
    <t>Stack lifetime</t>
  </si>
  <si>
    <t>Footprint</t>
  </si>
  <si>
    <t>Grid connection voltage</t>
  </si>
  <si>
    <t>V / phases</t>
  </si>
  <si>
    <t>HB-012 — H₂ Compressor</t>
  </si>
  <si>
    <t>Category: H2 Boosting &amp; Purification    |    Equipment #57 of 91</t>
  </si>
  <si>
    <t>Compressor type</t>
  </si>
  <si>
    <t>Inlet pressure</t>
  </si>
  <si>
    <t>Discharge pressure (design)</t>
  </si>
  <si>
    <t>Flow rate</t>
  </si>
  <si>
    <t>Number of stages</t>
  </si>
  <si>
    <t>Lubrication type</t>
  </si>
  <si>
    <t>Interstage temperature (max)</t>
  </si>
  <si>
    <t>HB-013 — H₂ Storage Vessel</t>
  </si>
  <si>
    <t>Category: H2 Boosting &amp; Purification    |    Equipment #58 of 91</t>
  </si>
  <si>
    <t>Vessel type</t>
  </si>
  <si>
    <t>kg H₂</t>
  </si>
  <si>
    <t>Number of vessels</t>
  </si>
  <si>
    <t>Safety relief valve pressure</t>
  </si>
  <si>
    <t>Temperature sensor (vessel)</t>
  </si>
  <si>
    <t>Leak detection method</t>
  </si>
  <si>
    <t>ATEX zone classification</t>
  </si>
  <si>
    <t>HB-014 — LOHC Hydrogenation / Loading Reactor</t>
  </si>
  <si>
    <t>Category: H2 Boosting &amp; Purification    |    Equipment #59 of 91</t>
  </si>
  <si>
    <t>Carrier compound</t>
  </si>
  <si>
    <t>H₂ loading capacity</t>
  </si>
  <si>
    <t>kg H₂/h</t>
  </si>
  <si>
    <t>H₂ loading efficiency</t>
  </si>
  <si>
    <t>Reactor volume</t>
  </si>
  <si>
    <t>Heat integration source</t>
  </si>
  <si>
    <t>HB-015 — LOHC Storage Tank (Lean/Rich Oil)</t>
  </si>
  <si>
    <t>Category: H2 Boosting &amp; Purification    |    Equipment #60 of 91</t>
  </si>
  <si>
    <t>Storage configuration</t>
  </si>
  <si>
    <t>Lean carrier tank volume</t>
  </si>
  <si>
    <t>Rich carrier tank volume</t>
  </si>
  <si>
    <t>Storage temperature</t>
  </si>
  <si>
    <t>Storage pressure</t>
  </si>
  <si>
    <t>Tank material</t>
  </si>
  <si>
    <t>H₂ storage density</t>
  </si>
  <si>
    <t>kg H₂/m³ carrier</t>
  </si>
  <si>
    <t>Dehydrogenation interface</t>
  </si>
  <si>
    <t>HB-016 — LOHC Dehydrogenation Unit — Auxiliary/Optional</t>
  </si>
  <si>
    <t>Category: H2 Boosting &amp; Purification    |    Equipment #61 of 91</t>
  </si>
  <si>
    <t>H₂ release capacity</t>
  </si>
  <si>
    <t>Heat demand</t>
  </si>
  <si>
    <t>Location</t>
  </si>
  <si>
    <t>H₂ release efficiency</t>
  </si>
  <si>
    <t>Category: H2 Boosting &amp; Purification    |    Equipment #62 of 91</t>
  </si>
  <si>
    <t>Purification method</t>
  </si>
  <si>
    <t>Target purity</t>
  </si>
  <si>
    <t>Outlet pressure</t>
  </si>
  <si>
    <t>Contaminants targeted</t>
  </si>
  <si>
    <t>Recovery efficiency</t>
  </si>
  <si>
    <t>Downstream routing</t>
  </si>
  <si>
    <t>Category: H2 Boosting &amp; Purification    |    Equipment #63 of 91</t>
  </si>
  <si>
    <t>Dispensing pressure</t>
  </si>
  <si>
    <t>Fuelling protocol</t>
  </si>
  <si>
    <t>Dispensing rate</t>
  </si>
  <si>
    <t>kg/min</t>
  </si>
  <si>
    <t>Nozzle standard</t>
  </si>
  <si>
    <t>Pre-cooling required</t>
  </si>
  <si>
    <t>Vehicle classes served</t>
  </si>
  <si>
    <t>Metering/billing system</t>
  </si>
  <si>
    <t>Source stream(s)</t>
  </si>
  <si>
    <t>EU-001 — SOFC Stack (Temp)</t>
  </si>
  <si>
    <t>Category: Energy Utilisation    |    Equipment #64 of 91</t>
  </si>
  <si>
    <t>Stack operating temperature</t>
  </si>
  <si>
    <t>Thermal ramp rate (max)</t>
  </si>
  <si>
    <t>°C/min</t>
  </si>
  <si>
    <t>Stack cooling method</t>
  </si>
  <si>
    <t>EU-002 — SOFC Stack (Efficiency)</t>
  </si>
  <si>
    <t>Category: Energy Utilisation    |    Equipment #65 of 91</t>
  </si>
  <si>
    <t>Rated electrical power output</t>
  </si>
  <si>
    <t>kWe</t>
  </si>
  <si>
    <t>Electrical efficiency (LHV)</t>
  </si>
  <si>
    <t>Fuel utilisation factor</t>
  </si>
  <si>
    <t>AC or DC output</t>
  </si>
  <si>
    <t>Fuel inlet composition (H₂ + CO)</t>
  </si>
  <si>
    <t>Fuel inlet pressure</t>
  </si>
  <si>
    <t>Stack voltage</t>
  </si>
  <si>
    <t>V</t>
  </si>
  <si>
    <t>Stack current</t>
  </si>
  <si>
    <t>A</t>
  </si>
  <si>
    <t>Power meter type</t>
  </si>
  <si>
    <t>EU-003 — Gas Engine / Genset (Power)</t>
  </si>
  <si>
    <t>Category: Energy Utilisation    |    Equipment #66 of 91</t>
  </si>
  <si>
    <t>Rated electrical output</t>
  </si>
  <si>
    <t>Rated thermal output (CHP)</t>
  </si>
  <si>
    <t>kWth</t>
  </si>
  <si>
    <t>Fuel gas LHV required</t>
  </si>
  <si>
    <t>Fuel gas pressure (supply)</t>
  </si>
  <si>
    <t>Fuel gas flow rate (rated)</t>
  </si>
  <si>
    <t>Generator voltage</t>
  </si>
  <si>
    <t>Generator frequency</t>
  </si>
  <si>
    <t>Hz</t>
  </si>
  <si>
    <t>Power meter / protection relay</t>
  </si>
  <si>
    <t>Engine speed</t>
  </si>
  <si>
    <t>NOx emission (dry, 5% O₂)</t>
  </si>
  <si>
    <t>EU-004 — Gas Engine (Thermal Eff.)</t>
  </si>
  <si>
    <t>Category: Energy Utilisation    |    Equipment #67 of 91</t>
  </si>
  <si>
    <t>Exhaust gas temperature</t>
  </si>
  <si>
    <t>Exhaust gas flow rate</t>
  </si>
  <si>
    <t>Jacket cooling heat recovery</t>
  </si>
  <si>
    <t>Exhaust heat recovery</t>
  </si>
  <si>
    <t>Total heat recovery potential</t>
  </si>
  <si>
    <t>Cooling water flow rate</t>
  </si>
  <si>
    <t>Cooling water supply temperature</t>
  </si>
  <si>
    <t>Cooling water return temperature</t>
  </si>
  <si>
    <t>Thermal efficiency (LHV)</t>
  </si>
  <si>
    <t>EU-005 — Microturbine</t>
  </si>
  <si>
    <t>Category: Energy Utilisation    |    Equipment #68 of 91</t>
  </si>
  <si>
    <t>Turbine speed</t>
  </si>
  <si>
    <t>Exhaust temperature</t>
  </si>
  <si>
    <t>Exhaust flow rate</t>
  </si>
  <si>
    <t>Generator output voltage</t>
  </si>
  <si>
    <t>NOx emissions</t>
  </si>
  <si>
    <t>ppmvd @ 15% O₂</t>
  </si>
  <si>
    <t>Grid connection type</t>
  </si>
  <si>
    <t>Category: Energy Utilisation    |    Equipment #69 of 91</t>
  </si>
  <si>
    <t>Fuel cell type</t>
  </si>
  <si>
    <t>H₂ fuel purity required</t>
  </si>
  <si>
    <t>H₂ supply pressure</t>
  </si>
  <si>
    <t>H₂ consumption (rated)</t>
  </si>
  <si>
    <t>DC output voltage</t>
  </si>
  <si>
    <t>Category: Energy Utilisation    |    Equipment #70 of 91</t>
  </si>
  <si>
    <t>Flare capacity (100% design flow)</t>
  </si>
  <si>
    <t>Flare type</t>
  </si>
  <si>
    <t>Pilot burner type</t>
  </si>
  <si>
    <t>Flame detector type</t>
  </si>
  <si>
    <t>Gas composition range</t>
  </si>
  <si>
    <t>Smokeless operation</t>
  </si>
  <si>
    <t>Noise limit at boundary</t>
  </si>
  <si>
    <t>dB(A)</t>
  </si>
  <si>
    <t>Radiation limit at fence</t>
  </si>
  <si>
    <t>kW/m²</t>
  </si>
  <si>
    <t>ATEX classification</t>
  </si>
  <si>
    <t>Category: Energy Utilisation    |    Equipment #71 of 91</t>
  </si>
  <si>
    <t>Cooling duty</t>
  </si>
  <si>
    <t>Tower type</t>
  </si>
  <si>
    <t>Water flow rate</t>
  </si>
  <si>
    <t>Fan motor power</t>
  </si>
  <si>
    <t>Make-up water consumption</t>
  </si>
  <si>
    <t>Water treatment required</t>
  </si>
  <si>
    <t>Legionella risk assessment</t>
  </si>
  <si>
    <t>EU-009 — Electrical Metering (Grid)</t>
  </si>
  <si>
    <t>Category: Energy Utilisation    |    Equipment #72 of 91</t>
  </si>
  <si>
    <t>Meter type</t>
  </si>
  <si>
    <t>Accuracy class</t>
  </si>
  <si>
    <t>Connection voltage</t>
  </si>
  <si>
    <t>Communication protocol</t>
  </si>
  <si>
    <t>Import / export metering</t>
  </si>
  <si>
    <t>Data logging interval</t>
  </si>
  <si>
    <t>DNO / utility approval required</t>
  </si>
  <si>
    <t>Category: Energy Utilisation    |    Equipment #73 of 91</t>
  </si>
  <si>
    <t>UPS type</t>
  </si>
  <si>
    <t>Rated power</t>
  </si>
  <si>
    <t>kVA</t>
  </si>
  <si>
    <t>Battery technology</t>
  </si>
  <si>
    <t>Backup duration at full load</t>
  </si>
  <si>
    <t>DC bus voltage</t>
  </si>
  <si>
    <t>AC output voltage</t>
  </si>
  <si>
    <t>Recharge time to 90%</t>
  </si>
  <si>
    <t>Battery state-of-charge sensor</t>
  </si>
  <si>
    <t>BMS communication</t>
  </si>
  <si>
    <t>Category: Energy Utilisation    |    Equipment #74 of 91</t>
  </si>
  <si>
    <t>Exhaust gas inlet temperature</t>
  </si>
  <si>
    <t>Exhaust gas outlet temperature</t>
  </si>
  <si>
    <t>Recovery medium</t>
  </si>
  <si>
    <t>Recovery medium flow rate</t>
  </si>
  <si>
    <t>Thermal duty recovered</t>
  </si>
  <si>
    <t>Pressure drop (gas side)</t>
  </si>
  <si>
    <t>Material (gas side)</t>
  </si>
  <si>
    <t>Category: Energy Utilisation    |    Equipment #75 of 91</t>
  </si>
  <si>
    <t>HX type</t>
  </si>
  <si>
    <t>Thermal output (design)</t>
  </si>
  <si>
    <t>Primary supply temperature</t>
  </si>
  <si>
    <t>Primary return temperature</t>
  </si>
  <si>
    <t>Secondary supply temperature</t>
  </si>
  <si>
    <t>Secondary return temperature</t>
  </si>
  <si>
    <t>Primary flow rate</t>
  </si>
  <si>
    <t>Secondary flow rate</t>
  </si>
  <si>
    <t>Design pressure (primary)</t>
  </si>
  <si>
    <t>Design pressure (secondary)</t>
  </si>
  <si>
    <t>HX material</t>
  </si>
  <si>
    <t>EU-013 — Thermal Energy Metering (District Heat)</t>
  </si>
  <si>
    <t>Category: Energy Utilisation    |    Equipment #76 of 91</t>
  </si>
  <si>
    <t>Metering standard</t>
  </si>
  <si>
    <t>Measured flow rate range</t>
  </si>
  <si>
    <t>Supply/return temperature range</t>
  </si>
  <si>
    <t>Metered energy accuracy class</t>
  </si>
  <si>
    <t>Billing interface</t>
  </si>
  <si>
    <t>Heat delivery point</t>
  </si>
  <si>
    <t>Category: AI Control &amp; Instruments    |    Equipment #77 of 91</t>
  </si>
  <si>
    <t>Parameters measured</t>
  </si>
  <si>
    <t>Temperature range</t>
  </si>
  <si>
    <t>Wind speed range</t>
  </si>
  <si>
    <t>Rainfall measurement</t>
  </si>
  <si>
    <t>mm/h</t>
  </si>
  <si>
    <t>Data output protocol</t>
  </si>
  <si>
    <t>Data update interval</t>
  </si>
  <si>
    <t>Mounting height</t>
  </si>
  <si>
    <t>IP rating</t>
  </si>
  <si>
    <t>Category: AI Control &amp; Instruments    |    Equipment #78 of 91</t>
  </si>
  <si>
    <t>Camera type</t>
  </si>
  <si>
    <t>Resolution</t>
  </si>
  <si>
    <t>MP</t>
  </si>
  <si>
    <t>Frame rate</t>
  </si>
  <si>
    <t>fps</t>
  </si>
  <si>
    <t>Field of view</t>
  </si>
  <si>
    <t>AI model purpose</t>
  </si>
  <si>
    <t>AI model accuracy (design)</t>
  </si>
  <si>
    <t>Interface</t>
  </si>
  <si>
    <t>IP / ATEX rating</t>
  </si>
  <si>
    <t>Category: AI Control &amp; Instruments    |    Equipment #79 of 91</t>
  </si>
  <si>
    <t>Installation location</t>
  </si>
  <si>
    <t>Alarm / trip setpoint</t>
  </si>
  <si>
    <t>Category: AI Control &amp; Instruments    |    Equipment #80 of 91</t>
  </si>
  <si>
    <t>PLC make / family</t>
  </si>
  <si>
    <t>CPU model</t>
  </si>
  <si>
    <t>Number of digital inputs</t>
  </si>
  <si>
    <t>Number of digital outputs</t>
  </si>
  <si>
    <t>Number of analogue inputs</t>
  </si>
  <si>
    <t>Number of analogue outputs</t>
  </si>
  <si>
    <t>Scan cycle time</t>
  </si>
  <si>
    <t>ms</t>
  </si>
  <si>
    <t>Communication interfaces</t>
  </si>
  <si>
    <t>Redundancy (CPU)</t>
  </si>
  <si>
    <t>Power supply redundancy</t>
  </si>
  <si>
    <t>Safety PLC (SIL rated)</t>
  </si>
  <si>
    <t>SIL level</t>
  </si>
  <si>
    <t>ATEX / Ex rating (if required)</t>
  </si>
  <si>
    <t>Category: AI Control &amp; Instruments    |    Equipment #81 of 91</t>
  </si>
  <si>
    <t>Gateway hardware</t>
  </si>
  <si>
    <t>OPC-UA server spec version</t>
  </si>
  <si>
    <t>Number of OPC-UA tags (max)</t>
  </si>
  <si>
    <t>Tag update rate</t>
  </si>
  <si>
    <t>Security mode</t>
  </si>
  <si>
    <t>Security policy</t>
  </si>
  <si>
    <t>Communication interface</t>
  </si>
  <si>
    <t>Redundancy</t>
  </si>
  <si>
    <t>Category: AI Control &amp; Instruments    |    Equipment #82 of 91</t>
  </si>
  <si>
    <t>MQTT broker software</t>
  </si>
  <si>
    <t>Max concurrent clients</t>
  </si>
  <si>
    <t>Max message throughput</t>
  </si>
  <si>
    <t>msg/s</t>
  </si>
  <si>
    <t>Protocol version</t>
  </si>
  <si>
    <t>TLS/SSL encryption</t>
  </si>
  <si>
    <t>Authentication method</t>
  </si>
  <si>
    <t>Persistence (retained messages)</t>
  </si>
  <si>
    <t>QoS levels supported</t>
  </si>
  <si>
    <t>Hardware / cloud hosting</t>
  </si>
  <si>
    <t>Category: AI Control &amp; Instruments    |    Equipment #83 of 91</t>
  </si>
  <si>
    <t>SCADA software</t>
  </si>
  <si>
    <t>Server hardware spec</t>
  </si>
  <si>
    <t>Redundancy (server)</t>
  </si>
  <si>
    <t>Number of I/O tags (licensed)</t>
  </si>
  <si>
    <t>Historian software</t>
  </si>
  <si>
    <t>Historian retention period</t>
  </si>
  <si>
    <t>Client stations (operator HMI)</t>
  </si>
  <si>
    <t>Remote access method</t>
  </si>
  <si>
    <t>Cybersecurity standard</t>
  </si>
  <si>
    <t>Category: AI Control &amp; Instruments    |    Equipment #84 of 91</t>
  </si>
  <si>
    <t>Hardware form factor</t>
  </si>
  <si>
    <t>CPU</t>
  </si>
  <si>
    <t>GPU (if AI inference)</t>
  </si>
  <si>
    <t>RAM</t>
  </si>
  <si>
    <t>GB</t>
  </si>
  <si>
    <t>Storage</t>
  </si>
  <si>
    <t>Network interfaces</t>
  </si>
  <si>
    <t>MTBF</t>
  </si>
  <si>
    <t>OS</t>
  </si>
  <si>
    <t>ATEX / Ex rating (if needed)</t>
  </si>
  <si>
    <t>Category: AI Control &amp; Instruments    |    Equipment #85 of 91</t>
  </si>
  <si>
    <t>Firewall standard</t>
  </si>
  <si>
    <t>Throughput</t>
  </si>
  <si>
    <t>Gbps</t>
  </si>
  <si>
    <t>Number of network zones</t>
  </si>
  <si>
    <t>DPI (deep packet inspection)</t>
  </si>
  <si>
    <t>OT protocol awareness</t>
  </si>
  <si>
    <t>Intrusion detection (IDS)</t>
  </si>
  <si>
    <t>VPN support</t>
  </si>
  <si>
    <t>Logging / SIEM integration</t>
  </si>
  <si>
    <t>Firmware update policy</t>
  </si>
  <si>
    <t>Category: AI Control &amp; Instruments    |    Equipment #86 of 91</t>
  </si>
  <si>
    <t>Cloud platform</t>
  </si>
  <si>
    <t>Max device connections</t>
  </si>
  <si>
    <t>Message ingestion rate</t>
  </si>
  <si>
    <t>msg/day</t>
  </si>
  <si>
    <t>Data retention (hot tier)</t>
  </si>
  <si>
    <t>days</t>
  </si>
  <si>
    <t>Data retention (cold / archive)</t>
  </si>
  <si>
    <t>Security standard</t>
  </si>
  <si>
    <t>Data residency region</t>
  </si>
  <si>
    <t>Integration with twin platform</t>
  </si>
  <si>
    <t>Monthly cost estimate</t>
  </si>
  <si>
    <t>EUR/month</t>
  </si>
  <si>
    <t>Category: AI Control &amp; Instruments    |    Equipment #87 of 91</t>
  </si>
  <si>
    <t>Database software</t>
  </si>
  <si>
    <t>Deployment</t>
  </si>
  <si>
    <t>Write throughput</t>
  </si>
  <si>
    <t>points/s</t>
  </si>
  <si>
    <t>Query latency (p99)</t>
  </si>
  <si>
    <t>Data retention policy</t>
  </si>
  <si>
    <t>Compression ratio (typical)</t>
  </si>
  <si>
    <t>High availability</t>
  </si>
  <si>
    <t>Backup strategy</t>
  </si>
  <si>
    <t>API / query language</t>
  </si>
  <si>
    <t>Category: AI Control &amp; Instruments    |    Equipment #88 of 91</t>
  </si>
  <si>
    <t>AI framework</t>
  </si>
  <si>
    <t>Control strategy type</t>
  </si>
  <si>
    <t>Inference latency (target)</t>
  </si>
  <si>
    <t>Control loop frequency</t>
  </si>
  <si>
    <t>Number of controlled variables</t>
  </si>
  <si>
    <t>Number of manipulated variables</t>
  </si>
  <si>
    <t>Training data requirement</t>
  </si>
  <si>
    <t>Model retraining frequency</t>
  </si>
  <si>
    <t>Fallback control mode</t>
  </si>
  <si>
    <t>Hardware spec (inference)</t>
  </si>
  <si>
    <t>Category: AI Control &amp; Instruments    |    Equipment #89 of 91</t>
  </si>
  <si>
    <t>Twin platform software</t>
  </si>
  <si>
    <t>3D engine</t>
  </si>
  <si>
    <t>State sync frequency</t>
  </si>
  <si>
    <t>Number of live data tags</t>
  </si>
  <si>
    <t>Process simulation link</t>
  </si>
  <si>
    <t>Digital twin standard</t>
  </si>
  <si>
    <t>API type</t>
  </si>
  <si>
    <t>Visualisation resolution</t>
  </si>
  <si>
    <t>VR/AR support</t>
  </si>
  <si>
    <t>AI-014 — Multi-Module Orchestration Controller</t>
  </si>
  <si>
    <t>Category: AI Control &amp; Instruments    |    Equipment #90 of 91</t>
  </si>
  <si>
    <t>Max modules supported</t>
  </si>
  <si>
    <t>Load balancing strategy</t>
  </si>
  <si>
    <t>Shared utility coordination</t>
  </si>
  <si>
    <t>Failover / redundancy</t>
  </si>
  <si>
    <t>Module health monitoring</t>
  </si>
  <si>
    <t>Scaling response time</t>
  </si>
  <si>
    <t>Central vs. distributed control</t>
  </si>
  <si>
    <t>AI-015 — RFNBO Compliance &amp; Guarantee-of-Origin Monitor — Auxiliary/Optional</t>
  </si>
  <si>
    <t>Category: AI Control &amp; Instruments    |    Equipment #91 of 91</t>
  </si>
  <si>
    <t>Scope</t>
  </si>
  <si>
    <t>Renewable power verification method</t>
  </si>
  <si>
    <t>Temporal correlation requirement</t>
  </si>
  <si>
    <t>Additionality tracking</t>
  </si>
  <si>
    <t>Mass-balance / chain-of-custody system</t>
  </si>
  <si>
    <t>Applicable regulation</t>
  </si>
  <si>
    <t>Reporting interface</t>
  </si>
  <si>
    <t>Matches DOK-ING's 1 tpd (41.7 kg/h) nominal basis directly</t>
  </si>
  <si>
    <t>70% turndown per DOK-ING spec</t>
  </si>
  <si>
    <t>120% turndown per DOK-ING spec</t>
  </si>
  <si>
    <t>Smallest practical standard belt-weigher width — same minimum-practical-unit pattern seen at FE-008</t>
  </si>
  <si>
    <t>0.1-0.3</t>
  </si>
  <si>
    <t>Deliberately slow — improves belt-weigher accuracy, and throughput here is small regardless</t>
  </si>
  <si>
    <t>Standard small-motor size for this duty</t>
  </si>
  <si>
    <t>±0.5</t>
  </si>
  <si>
    <t>This number matters more than most: it's the mass-balance input every downstream efficiency KPI is calculated against</t>
  </si>
  <si>
    <t>Short connecting run between FE-008 and FE-003</t>
  </si>
  <si>
    <t>Horizontal — avoids the measurement error an incline adds to belt-weigher accuracy</t>
  </si>
  <si>
    <t>Kw</t>
  </si>
  <si>
    <t>Covers FE-002's max feed rate (0.050 t/h) with margin; smallest practical shredder unit — same oversizing pattern as FE-008/FE-002</t>
  </si>
  <si>
    <t>Sits inside DOK-ING's 20–30mm target with margin, not right at the edge</t>
  </si>
  <si>
    <t>Low-speed, high-torque — standard for mixed/heterogeneous waste rather than high-speed shredding</t>
  </si>
  <si>
    <t>Shredders don't scale down power the way throughput scales down — cutting force is the limiter, not mass flow. This is the sharpest oversizing case yet</t>
  </si>
  <si>
    <t>2 (dual-shaft)</t>
  </si>
  <si>
    <t>Handles DOK-ING's mixed feed (plastic, wood, textiles) more reliably than single-shaft</t>
  </si>
  <si>
    <t>Hardened alloy steel (42CrMo4), induction-hardened cutting edges</t>
  </si>
  <si>
    <t>Standard for abrasive/mixed MSW duty</t>
  </si>
  <si>
    <t>Matches target output size directly</t>
  </si>
  <si>
    <t>Torque-limiting clutch + automatic reverse-on-jam</t>
  </si>
  <si>
    <t>Handles load variability in heterogeneous feed, reduces jam risk</t>
  </si>
  <si>
    <t>Standard modern practice; protects the single most mechanically stressed equipment in the feed train</t>
  </si>
  <si>
    <t>Belt dryer (low-temperature convective)</t>
  </si>
  <si>
    <t>Recovered process heat (HB-005 WGS heat exchanger and/or EU-006 CHP recovery), electric/gas trim backup</t>
  </si>
  <si>
    <t>Chosen over rotary specifically because feed includes plastics — gentler thin-layer drying avoids sticking/fouling on hot drum walls</t>
  </si>
  <si>
    <t>Matches FE-003 max feed rate</t>
  </si>
  <si>
    <t>Same midpoint value used in the mass/energy balance dashboard — keeps this datasheet consistent rather than introducing a second assumption</t>
  </si>
  <si>
    <t>Matches residual moisture already used in the stream table</t>
  </si>
  <si>
    <t>Kept below where common MSW plastics (PE/PP) soften (~120-160°C) to avoid fouling</t>
  </si>
  <si>
    <t>Standard for thin-layer belt drying at this scale</t>
  </si>
  <si>
    <t>Dominated by fan/blower power, not mechanical drive, in a convective dryer</t>
  </si>
  <si>
    <t>Value</t>
  </si>
  <si>
    <t>Near-infrared reflectance (NIR)</t>
  </si>
  <si>
    <t>0–25</t>
  </si>
  <si>
    <t>4-20mA + Modbus TCP</t>
  </si>
  <si>
    <t>Non-contact, mounted above conveyor at dryer discharge</t>
  </si>
  <si>
    <t>0 to +60</t>
  </si>
  <si>
    <t>Non-contact, robust for heterogeneous solids — avoids fouling/wear a contact method would face on mixed MSW</t>
  </si>
  <si>
    <t>Covers FE-007's ~1% target with margin, plus DOK-ING's full inlet range (up to 20%) in case material bypasses drying</t>
  </si>
  <si>
    <t>Standard for NIR moisture analysers at this duty</t>
  </si>
  <si>
    <t>Fast enough to actually close a control loop back to the dryer, not just log a reading</t>
  </si>
  <si>
    <t>Analog for local control loop, digital for integration into AI/SCADA layer</t>
  </si>
  <si>
    <t>Reads material right as it leaves FE-007, before FE-005</t>
  </si>
  <si>
    <t>Sensor housed clear of the ~100°C drying air stream</t>
  </si>
  <si>
    <t>Standard for continuous online NIR moisture sensors</t>
  </si>
  <si>
    <t>FE-007 — Feed Screw / Ram Feeder</t>
  </si>
  <si>
    <t>FE-006 — Moisture Analyser</t>
  </si>
  <si>
    <t>FE-005 — Feed Dryer (Rotary/Belt)</t>
  </si>
  <si>
    <t>FE-004 — Shredder / Size Reducer</t>
  </si>
  <si>
    <t>FE-003 — Weighing Conveyor</t>
  </si>
  <si>
    <t>FE-002 — Magnetic &amp; Eddy Current Separator</t>
  </si>
  <si>
    <t>0.029-0.050</t>
  </si>
  <si>
    <t>Matches FE-002/FE-003 turndown range directly</t>
  </si>
  <si>
    <t>Magnetostrictive linear position transducer</t>
  </si>
  <si>
    <t>Compacted feed plug (self-sealing) + hydraulic rod seals</t>
  </si>
  <si>
    <t>Standard for a small-scale ram feeder at this throughput</t>
  </si>
  <si>
    <t>Sized to match feed rate at this stroke volume</t>
  </si>
  <si>
    <t>Hydraulic power unit driving the ram cylinder</t>
  </si>
  <si>
    <t>Standard small-bore hydraulic cylinder for this duty</t>
  </si>
  <si>
    <t>Standard hydraulic ram system pressure</t>
  </si>
  <si>
    <t>Continuous stroke-position feedback</t>
  </si>
  <si>
    <t>Plug is the primary pressure barrier, works with FE-006 downstream to hold reactor pressure</t>
  </si>
  <si>
    <t>FE-008 — Air-lock / Rotary Valve</t>
  </si>
  <si>
    <t>0.029–0.050</t>
  </si>
  <si>
    <t>10–20</t>
  </si>
  <si>
    <t>Cast iron body, hardened rotor-tip inserts</t>
  </si>
  <si>
    <t>Adjustable rotor-tip clearance + shaft lip seals</t>
  </si>
  <si>
    <t>Matches FE-005 feed rate range directly</t>
  </si>
  <si>
    <t>Standard for solids rotary valves at this duty</t>
  </si>
  <si>
    <t>Rated with margin above the ~100 mbar actual differential (gasifier runs near-atmospheric, ~1.1 bar)</t>
  </si>
  <si>
    <t>Small unit, standard for this throughput</t>
  </si>
  <si>
    <t>Sized against throughput and rotor speed</t>
  </si>
  <si>
    <t>Standard for dried, abrasive MSW dust service</t>
  </si>
  <si>
    <t>Secondary pressure barrier — works with FE-005’s compacted plug to hold gasifier pressure</t>
  </si>
  <si>
    <t>Allows speed matching to actual feed rate, avoids over/under-feeding</t>
  </si>
  <si>
    <t>70% Al2O3 high-alumina castable</t>
  </si>
  <si>
    <t>Carbon steel SA516 Gr.70, refractory-lined</t>
  </si>
  <si>
    <t>Type S (Pt-Rh) thermocouples, multi-point</t>
  </si>
  <si>
    <t>Bubbling Fluidized Bed (BFB), steam-blown, Fe2O3/Fe3O4 chemical looping oxygen carrier</t>
  </si>
  <si>
    <t>Margin above operating temperature for design safety factor</t>
  </si>
  <si>
    <t>Matches the value already used in the mass/energy balance dashboard and Simulink thermal-lag model</t>
  </si>
  <si>
    <t>Rated with real margin above operating, even though BFB runs near-atmospheric</t>
  </si>
  <si>
    <t>Matches ~1.1 bar absolute already used in the pressure profile chart</t>
  </si>
  <si>
    <t>Sized for realistic superficial gas velocity (0.5-1.5 m/s typical for BFB) at this small throughput</t>
  </si>
  <si>
    <t>Includes bed height + freeboard for particle disengagement before gas exits</t>
  </si>
  <si>
    <t>Standard for continuous service at 950-1050°C</t>
  </si>
  <si>
    <t>Standard for this temperature class, protects the shell from process temperature</t>
  </si>
  <si>
    <t>Refractory does the thermal work; shell doesn't need to be a high-temp alloy</t>
  </si>
  <si>
    <t>Lower bed, upper bed, freeboard, gas exit — enough resolution to see bed behavior, not just one averaged reading</t>
  </si>
  <si>
    <t>Type K degrades in accuracy near 950°C+; Type S is standard at this temperature class</t>
  </si>
  <si>
    <t>Matches the specific technology documented in the equipment reference and gasifier structure diagram</t>
  </si>
  <si>
    <t>Solids residence time in the bed — typical for MSW/biomass gasification conversion at this scale</t>
  </si>
  <si>
    <t>50-150</t>
  </si>
  <si>
    <t>Capacitive diaphragm pressure transmitter</t>
  </si>
  <si>
    <t>0-600</t>
  </si>
  <si>
    <t>±0.1</t>
  </si>
  <si>
    <t>Matches GA-001's design pressure directly</t>
  </si>
  <si>
    <t>Band around the 100 mbar(g) typical value, reflecting the 70-120% feed turndown DOK-ING specified</t>
  </si>
  <si>
    <t>Standard choice for this low-pressure (mbar) range</t>
  </si>
  <si>
    <t>Covers design pressure with margin</t>
  </si>
  <si>
    <t>Tighter than typical elsewhere — justified as a key AI control input and earliest upset-condition indicator in the plant</t>
  </si>
  <si>
    <t>Standard margin below the 500 mbar(g) design pressure, code-compliant practice</t>
  </si>
  <si>
    <t>Primary continuous transmitter + a second tap enabling cross-check and feeding the bed ΔP calculation (AI-013)</t>
  </si>
  <si>
    <t>Thermal mass flow meter</t>
  </si>
  <si>
    <t>Vortex shedding flow meter</t>
  </si>
  <si>
    <t>0-100</t>
  </si>
  <si>
    <t>0-25</t>
  </si>
  <si>
    <t>Inconel 625</t>
  </si>
  <si>
    <t>Derived from ER=0.25 × stoichiometric air demand for the dry feed rate — not DOK-ING-confirmed, treat as an estimate</t>
  </si>
  <si>
    <t>Directly matches the 0.4 kg steam/kg dry feed ratio already used in the mass/energy balance (37.5 kg/h dry feed x 0.4)</t>
  </si>
  <si>
    <t>Partial oxidation for autothermal heat; majority of gasification still driven by steam reactions per DOK-ING's steam-blown spec</t>
  </si>
  <si>
    <t>No pressure/temperature compensation needed, suited to Nm3/h normalized flow</t>
  </si>
  <si>
    <t>Standard robust choice for steam service, no moving parts</t>
  </si>
  <si>
    <t>Margin above the 60 Nm3/h design value</t>
  </si>
  <si>
    <t>Margin above the 15 kg/h design value</t>
  </si>
  <si>
    <t>Distributor-plate nozzles, sized for uniform fluidization across the 600mm bed diameter (GA-001)</t>
  </si>
  <si>
    <t>High-temperature, oxidation-resistant — nozzles sit directly in the 950°C bed environment</t>
  </si>
  <si>
    <t>&gt;99% dry (superheated)</t>
  </si>
  <si>
    <t>Pt100 RTD</t>
  </si>
  <si>
    <t>Pneumatic-actuated control valve with positioner</t>
  </si>
  <si>
    <t>Sourced from recovered process heat (same integration approach as FE-007) rather than dedicated fuel-fired preheat</t>
  </si>
  <si>
    <t>Superheated — avoids condensation in injection lines and local bed quenching at injection points</t>
  </si>
  <si>
    <t>Supply header pressure; throttled down through the control valve to match the near-atmospheric reactor pressure (GA-002)</t>
  </si>
  <si>
    <t>Wet steam would carry liquid droplets causing thermal shock/erosion at the injection nozzles (GA-003)</t>
  </si>
  <si>
    <t>More accurate/stable than thermocouples at this moderate temperature range</t>
  </si>
  <si>
    <t>350°C is well within RTD accurate operating range</t>
  </si>
  <si>
    <t>Standard for tight flow control tied into the AI/PLC control loop</t>
  </si>
  <si>
    <t>Discharge mechanism type</t>
  </si>
  <si>
    <t>Discharge opening area</t>
  </si>
  <si>
    <t>Discharge drive speed range</t>
  </si>
  <si>
    <t>Discharge component material</t>
  </si>
  <si>
    <t>Water-cooled screw conveyor</t>
  </si>
  <si>
    <t>5_15</t>
  </si>
  <si>
    <t>Heat-resistant stainless steel (310S)</t>
  </si>
  <si>
    <t>Water-jacketed screw housing, indirect cooling</t>
  </si>
  <si>
    <t>BFB reactors use a bed drain/screw discharge through the distributor plate, not a moving grate</t>
  </si>
  <si>
    <t>Small opening relative to the 600mm bed diameter (GA-001)</t>
  </si>
  <si>
    <t>Standard screw-conveyor range for ash discharge duty</t>
  </si>
  <si>
    <t>Small unit for this ash mass flow</t>
  </si>
  <si>
    <t>Survives hot ash + abrasion at the bed-drain interface</t>
  </si>
  <si>
    <t>Matches the 10% ash content (dry basis) already used in the mass/energy balance</t>
  </si>
  <si>
    <t>Cools discharged ash from bed temperature before reaching GA-006 downstream</t>
  </si>
  <si>
    <t>Detects jams/blockages in the discharge screw — feeds into AI monitoring</t>
  </si>
  <si>
    <t>Drag chain conveyor (enclosed)</t>
  </si>
  <si>
    <t>Carbon steel with abrasion-resistant liner</t>
  </si>
  <si>
    <t>Ambient air cooling via enclosed housing</t>
  </si>
  <si>
    <t>Load cell under conveyor support frame</t>
  </si>
  <si>
    <t>Standard for hot, dusty ash service; enclosed housing controls dust</t>
  </si>
  <si>
    <t>Margin above the ~0.005 t/h ash rate implied by GA-005's 10%-of-feed discharge rate</t>
  </si>
  <si>
    <t>Small unit for this mass flow</t>
  </si>
  <si>
    <t>Already cooled by GA-005's water-jacketed screw housing — well below bed temperature (950°C, GA-001)</t>
  </si>
  <si>
    <t>At this lower temperature (vs GA-005's 310S), carbon steel is sufficient; liner handles ash abrasion</t>
  </si>
  <si>
    <t>No active cooling needed — primary cooling already done at GA-005</t>
  </si>
  <si>
    <t>Short connecting run to GA-007</t>
  </si>
  <si>
    <t>Verifies ash output rate against the 10% design value from GA-005, feeds the same mass-balance cross-checking pattern as FE-001/FE-002</t>
  </si>
  <si>
    <t>Radar (non-contact)</t>
  </si>
  <si>
    <t>0-1.5</t>
  </si>
  <si>
    <t>Carbon steel S275</t>
  </si>
  <si>
    <t>Bag filter vent (dust collector)</t>
  </si>
  <si>
    <t>Pneumatically actuated slide gate valve</t>
  </si>
  <si>
    <t>Several days' buffer at the ~0.005 t/h actual ash rate; smallest practical bin size</t>
  </si>
  <si>
    <t>Margin above GA-006's ~150°C outlet temperature</t>
  </si>
  <si>
    <t>Same reasoning as FE-001 — more tolerant of dust buildup than ultrasonic</t>
  </si>
  <si>
    <t>Matches bin height</t>
  </si>
  <si>
    <t>Moderate temperature, no longer abrasion-critical once ash has settled</t>
  </si>
  <si>
    <t>Retains residual warmth, reduces moisture condensation/caking risk in the ash</t>
  </si>
  <si>
    <t>Prevents dust escape during bin filling</t>
  </si>
  <si>
    <t>Automated batch discharge feeding GA-008/GA-009 consistently</t>
  </si>
  <si>
    <t>Cyclone (coarse) + electrostatic precipitator (fine polishing)</t>
  </si>
  <si>
    <t>&gt;95</t>
  </si>
  <si>
    <t>Collection hopper feeding GA-010 packaging silo</t>
  </si>
  <si>
    <t>&lt;1</t>
  </si>
  <si>
    <t>Two-stage — cyclone alone doesn't efficiently capture the finest carbon black fraction</t>
  </si>
  <si>
    <t>Margin above the ~1.88 kg/h nominal (2.25 kg/h at 120% turndown) already used in the mass/energy balance</t>
  </si>
  <si>
    <t>Defines the fine-particulate cut separating carbon black from coarser char/ash handled by GA-005/006/007</t>
  </si>
  <si>
    <t>Typical operating range for cyclone/ESP duty on this fines stream</t>
  </si>
  <si>
    <t>Standard for a combined cyclone + ESP system at this particle size</t>
  </si>
  <si>
    <t>GA-008 separates and classifies; GA-010 handles actual packaging/storage downstream</t>
  </si>
  <si>
    <t>Standard purity target for commercial-grade carbon black</t>
  </si>
  <si>
    <t>Carbon black dust is combustible — this isn't optional at any scale</t>
  </si>
  <si>
    <t>Crushing, cement/lime stabilization, and screening to size</t>
  </si>
  <si>
    <t>Standard three-step process turning raw bottom ash into a construction-grade aggregate</t>
  </si>
  <si>
    <t>0-8</t>
  </si>
  <si>
    <t>Portland cement (5-10% by mass)</t>
  </si>
  <si>
    <t>≥20</t>
  </si>
  <si>
    <t>Bulk bags (FIBC) or bulk silo storage</t>
  </si>
  <si>
    <t>EN 12620</t>
  </si>
  <si>
    <t>Margin above the ~3.75 kg/h ash rate (10% of dry feed) already established in the mass/energy balance</t>
  </si>
  <si>
    <t>Standard construction aggregate sizing</t>
  </si>
  <si>
    <t>MSW-derived ash can carry heavy metals — stabilization/encapsulation is what makes leachate compliance achievable</t>
  </si>
  <si>
    <t>Mid-range target for construction aggregate use</t>
  </si>
  <si>
    <t>Standard for aggregate product shipment</t>
  </si>
  <si>
    <t>European standard for aggregates for concrete — the actual compliance target this equipment exists to meet</t>
  </si>
  <si>
    <t>Crushing and screening generate dust; water misting or filtration required</t>
  </si>
  <si>
    <t>Vertical silo, N2-blanketed</t>
  </si>
  <si>
    <t>Bulk bags (FIBC)</t>
  </si>
  <si>
    <t>Industrial/pigment-grade</t>
  </si>
  <si>
    <t>Pneumatic loadout with dust collection</t>
  </si>
  <si>
    <t>Standard for fine combustible particulate storage</t>
  </si>
  <si>
    <t>Several days' buffer at the ~1.88 kg/h nominal rate; low bulk density means volume, not mass, drives sizing</t>
  </si>
  <si>
    <t>Matches GA-009's aggregate packaging approach for consistency</t>
  </si>
  <si>
    <t>Realistic target given the waste-gasification source — not premium tire-grade carbon black</t>
  </si>
  <si>
    <t>Same requirement as GA-008 — carries through the whole handling chain</t>
  </si>
  <si>
    <t>N2 blanketing prevents dust ignition/oxidation risk during storage</t>
  </si>
  <si>
    <t>Standard for fine, fluffy carbon black product transfer</t>
  </si>
  <si>
    <t>Standard quality/handling spec for carbon black product</t>
  </si>
  <si>
    <t>Type K thermocouple</t>
  </si>
  <si>
    <t>Refractory-lined carbon steel shell</t>
  </si>
  <si>
    <t>Some heat loss from the 950°C bed (GA-001) through transfer piping before reaching the cyclone</t>
  </si>
  <si>
    <t>Modest further loss through the cyclone body itself — short residence time limits heat loss here</t>
  </si>
  <si>
    <t>Below the bed's own extreme (which justified Type S at GA-001); Type K remains accurate and more cost-effective at this temperature</t>
  </si>
  <si>
    <t>One at inlet, one at outlet — enables tracking ΔT across the cyclone, paired with GC-002's ΔP reading</t>
  </si>
  <si>
    <t>Same cost-effective approach as GA-001 — refractory does the thermal work rather than a solid high-temp alloy shell</t>
  </si>
  <si>
    <t>Matches the ~46.9 kg/h raw syngas mass flow already established in the mass/energy balance, converted at typical syngas density</t>
  </si>
  <si>
    <t>0-50</t>
  </si>
  <si>
    <t>&gt;90</t>
  </si>
  <si>
    <t>Standard for a moderate-efficiency primary (bulk removal) cyclone at this gas flow</t>
  </si>
  <si>
    <t>Below design under normal clean conditions; rising toward design signals fouling</t>
  </si>
  <si>
    <t>Margin above design value, wide enough to still register meaningful readings as fouling develops</t>
  </si>
  <si>
    <t>Tight accuracy justified — this is the AI system's early warning signal for cyclone degradation, same reasoning as GA-002</t>
  </si>
  <si>
    <t>Coarser cut than a polishing cyclone — removes bulk particulate, leaving finer material for GC-003</t>
  </si>
  <si>
    <t>Standard for a primary cyclone at this cut size</t>
  </si>
  <si>
    <t>Sized for captured particulate loading at this gas flow</t>
  </si>
  <si>
    <t xml:space="preserve">Nm3/h </t>
  </si>
  <si>
    <t>GC-006 — Tar Removal Unit</t>
  </si>
  <si>
    <t>GC-008 — Wet Scrubber (H₂S)</t>
  </si>
  <si>
    <t>GC-009— HCl Scrubber (Alkaline)</t>
  </si>
  <si>
    <t>GC-012 — Activated Carbon Filter</t>
  </si>
  <si>
    <t>GC-013 — Gas Blower / ID Fan (Flow)</t>
  </si>
  <si>
    <t>GC-014 — Gas Blower (Pressure)</t>
  </si>
  <si>
    <t>GC-015— Condensate Tank</t>
  </si>
  <si>
    <t>Minor further loss from GC-001's 880°C outlet through connecting piping</t>
  </si>
  <si>
    <t>Higher than GC-002's 20 mbar — finer particle cut requires more centrifugal force</t>
  </si>
  <si>
    <t>Finer than the primary cyclone's 15µm cut — this stage specifically targets what GC-002 missed</t>
  </si>
  <si>
    <t>Higher than the primary stage's &gt;90%, consistent with the finer cut size targeting this range</t>
  </si>
  <si>
    <t>Plant scale (~50 Nm³/h) doesn't justify parallel units</t>
  </si>
  <si>
    <t>Same approach as GC-001 — still hot enough (870°C) to need refractory protection</t>
  </si>
  <si>
    <t>Matches GC-001/002 — particulate removal doesn't meaningfully change gas volume</t>
  </si>
  <si>
    <t>Residual loading after the primary cyclone's &gt;90% removal of the coarse fraction</t>
  </si>
  <si>
    <t>Direct water spray (recirculated quench water)</t>
  </si>
  <si>
    <t>Stainless steel 316L</t>
  </si>
  <si>
    <t>Type K thermocouple (inlet), Pt100 RTD (outlet)</t>
  </si>
  <si>
    <t>Minor connecting-pipe loss from GC-003's 870°C outlet</t>
  </si>
  <si>
    <t>Matches the value already established in the mass/energy balance dashboard temperature profile</t>
  </si>
  <si>
    <t>Standard approach for rapid gasifier gas cooling</t>
  </si>
  <si>
    <t>Sized for adequate gas-liquid contact time at this small scale</t>
  </si>
  <si>
    <t>Gas volume contracts ~70% cooling from 860°C to 65°C — diameter sized for cooled gas velocity, not hot inlet condition</t>
  </si>
  <si>
    <t>Wet, potentially acidic condensate (dissolved HCl, H2S) requires corrosion resistance carbon steel can't provide</t>
  </si>
  <si>
    <t>Multiple nozzles for even quench water distribution across the gas stream</t>
  </si>
  <si>
    <t>Different sensor types matched to each temperature extreme within the same tower</t>
  </si>
  <si>
    <t>Magnetic flow meter</t>
  </si>
  <si>
    <t>0-2</t>
  </si>
  <si>
    <t>4_6</t>
  </si>
  <si>
    <t>Sized for evaporative + sensible cooling duty at this gas flow, plus tar/particulate washing</t>
  </si>
  <si>
    <t>Standard atomization pressure for spray nozzles (GC-004)</t>
  </si>
  <si>
    <t>Ambient plant water supply</t>
  </si>
  <si>
    <t>No moving parts — handles particulate-laden, potentially acidic water better than mechanical meters</t>
  </si>
  <si>
    <t>Margin above the 0.5 m³/h design value</t>
  </si>
  <si>
    <t>Acidic — absorbed HCl/H2S from raw syngas lowers pH before dedicated downstream scrubbing (GC-006/GC-015) removes these species properly</t>
  </si>
  <si>
    <t>~10% of total flow — recirculated system needs periodic blowdown to prevent dissolved solids buildup</t>
  </si>
  <si>
    <t>Fixed packed-bed tar adsorber</t>
  </si>
  <si>
    <t>Activated carbon pellets (commercial-grade)</t>
  </si>
  <si>
    <t>Replaceable media (no in-situ regeneration)</t>
  </si>
  <si>
    <t>Matches the bed-based parameters, rather than an OLGA-type oil-scrubber column</t>
  </si>
  <si>
    <t>Reliable adsorption capacity; self-generated char is a lower-cost but less consistent alternative worth considering later</t>
  </si>
  <si>
    <t>Matches GC-004's quench tower outlet temperature directly</t>
  </si>
  <si>
    <t>Typical for a packed bed at this depth and gas velocity</t>
  </si>
  <si>
    <t>Sized for adequate tar-loading contact time at this small gas flow</t>
  </si>
  <si>
    <t>Similar order to the quench tower diameter (GC-004) for consistent gas velocity through the train</t>
  </si>
  <si>
    <t>In-situ thermal regeneration isn't economical at 1 tpd scale — media swap is simpler and more reliable</t>
  </si>
  <si>
    <t>Equivalent to ~3 months; estimate pending real tar-loading data</t>
  </si>
  <si>
    <t>&lt;50</t>
  </si>
  <si>
    <t>Water (recirculated)</t>
  </si>
  <si>
    <t>None — manual verification via SA-007 downstream</t>
  </si>
  <si>
    <t>Residual after GC-008's bulk packed-bed removal — down from typical raw syngas tar loading</t>
  </si>
  <si>
    <t>Standard target to protect downstream WGS catalyst and PSA adsorbent from fouling</t>
  </si>
  <si>
    <t>Standard range for a polishing wet scrubber</t>
  </si>
  <si>
    <t>Typical for a spray/venturi-type contactor at this duty</t>
  </si>
  <si>
    <t>Consistent with the plant's existing design pattern of periodic manual tar sampling rather than continuous online monitoring at this scale</t>
  </si>
  <si>
    <t>&gt;99.5</t>
  </si>
  <si>
    <t>Caustic soda (NaOH) solution</t>
  </si>
  <si>
    <t>Random packing (polypropylene Pall rings)</t>
  </si>
  <si>
    <t>Electrochemical H2S sensor</t>
  </si>
  <si>
    <t>UV fluorescence analyzer</t>
  </si>
  <si>
    <t>Estimate — DOK-ING never specified feed sulfur content; needs real confirmation</t>
  </si>
  <si>
    <t>WGS catalysts (HB-001/003) are sulfur-sensitive — hard protection requirement, not a nice-to-have</t>
  </si>
  <si>
    <t>Required to go from 200 ppm down to &lt;1 ppm target</t>
  </si>
  <si>
    <t>Simpler and more practical at this scale than an amine-based system</t>
  </si>
  <si>
    <t>Higher than GC-007's tar scrubber (L/G=2) — reaching sub-ppm H2S needs better liquid contact</t>
  </si>
  <si>
    <t>Sized for adequate mass transfer to reach the &lt;1 ppm target</t>
  </si>
  <si>
    <t>Consistent with other gas cleaning equipment at this scale</t>
  </si>
  <si>
    <t>Standard, corrosion-resistant to caustic solution</t>
  </si>
  <si>
    <t>Adequate resolution at the higher inlet concentration range</t>
  </si>
  <si>
    <t>More sensitive than electrochemical — needed to verify the sub-ppm outlet target protecting the WGS catalyst</t>
  </si>
  <si>
    <t>Packed-bed alkaline wet scrubber</t>
  </si>
  <si>
    <t>Sodium hydroxide (NaOH) solution</t>
  </si>
  <si>
    <t>&lt;5</t>
  </si>
  <si>
    <t>&gt;97</t>
  </si>
  <si>
    <t>Consistent design approach with GC-006's packed column</t>
  </si>
  <si>
    <t>Matches the gas flow established through the rest of the gas cleaning train</t>
  </si>
  <si>
    <t>Estimate — DOK-ING's feed includes plastic (potentially PVC-derived chlorine), but chlorine content was never specified</t>
  </si>
  <si>
    <t>Protects downstream equipment from corrosion and catalyst-poisoning risk</t>
  </si>
  <si>
    <t>Required to go from 150 ppm down to &lt;5 ppm target</t>
  </si>
  <si>
    <t>Continues the gradual cooling trend from GC-007's 60°C</t>
  </si>
  <si>
    <t>Polyester felt (PTFE membrane coating)</t>
  </si>
  <si>
    <t>Pulse-jet (compressed air)</t>
  </si>
  <si>
    <t>Optical (forward light-scattering) dust monitor</t>
  </si>
  <si>
    <t>Residual after the cyclones and wet scrubbing stages have already removed the bulk particulate</t>
  </si>
  <si>
    <t>Tight target — protects GC-009's carbon bed and downstream WGS/PSA from fine particulate fouling</t>
  </si>
  <si>
    <t>Generously sized relative to strict air-to-cloth calculation at this tiny gas flow — smallest practical unit</t>
  </si>
  <si>
    <t>Matches the small filter area needed at this scale</t>
  </si>
  <si>
    <t>Good filtration efficiency and moisture resistance at this moderate operating temperature</t>
  </si>
  <si>
    <t>Continues the cooling trend from GC-015's 55°C</t>
  </si>
  <si>
    <t>Margin above operating for upset conditions</t>
  </si>
  <si>
    <t>Standard, effective cleaning method for a bag filter at this scale</t>
  </si>
  <si>
    <t>Verifies outlet loading continuously and detects a broken/failed bag before it becomes a bigger problem downstream</t>
  </si>
  <si>
    <t>Typical for clean bags at this small gas flow</t>
  </si>
  <si>
    <t>ΔP builds as dust cake forms; consistent order of magnitude with other ΔP values through the gas cleaning train</t>
  </si>
  <si>
    <t>Margin above the dirty design value</t>
  </si>
  <si>
    <t>Triggers pulse-jet cleaning before reaching the 20 mbar dirty maximum, keeping operation steady rather than reactive</t>
  </si>
  <si>
    <t>Standard pulse-jet cleaning pressure</t>
  </si>
  <si>
    <t>Average consumption accounting for periodic pulses, not continuous flow</t>
  </si>
  <si>
    <t>&lt;0.1</t>
  </si>
  <si>
    <t>Impregnated activated carbon (KOH or metal-oxide impregnated, sulfur-selective)</t>
  </si>
  <si>
    <t>Downstream H2S/COS analyser (breakthrough detection)</t>
  </si>
  <si>
    <t>Carbon steel</t>
  </si>
  <si>
    <t>Tighter than GC-006's &lt;1 ppm H2S target — catches COS, which wet scrubbing doesn't remove effectively</t>
  </si>
  <si>
    <t>Sized for the small gas flow (~50 Nm³/h) with adequate contact time</t>
  </si>
  <si>
    <t>Plain activated carbon isn't selective enough for trace sulfur species at this outlet target</t>
  </si>
  <si>
    <t>Continues the cooling trend from GC-010/011's ~50°C</t>
  </si>
  <si>
    <t>Ties directly to SA-008 (H2S/COS Analyser) elsewhere in the registry — same instrument, dual purpose</t>
  </si>
  <si>
    <t>No longer handling raw hot corrosive gas at this point — already cleaned and cooled</t>
  </si>
  <si>
    <t>1500-3000</t>
  </si>
  <si>
    <t>Matches the flow rate established through the entire gas cleaning train</t>
  </si>
  <si>
    <t>70% turndown, consistent with DOK-ING's stated feed turndown range</t>
  </si>
  <si>
    <t>120% turndown, same basis</t>
  </si>
  <si>
    <t>Same approach as GA-003's air flow meter — suited to this clean(ish), low-flow gas service</t>
  </si>
  <si>
    <t>Margin above the 60 Nm³/h max flow</t>
  </si>
  <si>
    <t>Standard centrifugal ID fan range at this duty</t>
  </si>
  <si>
    <t>Sized for the pressure rise needed to overcome the cumulative ΔP across the whole gas cleaning train (~115+ mbar combined), not just the small gas flow itself</t>
  </si>
  <si>
    <t>Matches fan speed/flow to the actual feed rate rather than running fixed-speed with a control damper</t>
  </si>
  <si>
    <t>0-150</t>
  </si>
  <si>
    <t xml:space="preserve"> (-50 to +50)</t>
  </si>
  <si>
    <t>Enough positive pressure to push gas into the WGS section (HB-001 onward) against its own pressure drops</t>
  </si>
  <si>
    <t>Slightly negative — by the fan inlet, the gasifier's own 100 mbar(g) (GA-002) has mostly been consumed overcoming the cumulative ΔP across the gas cleaning train</t>
  </si>
  <si>
    <t>Margin above the 50 mbar(g) design discharge value</t>
  </si>
  <si>
    <t>Covers the negative suction range with margin</t>
  </si>
  <si>
    <t>Margin above design discharge pressure</t>
  </si>
  <si>
    <t>Standard protection for rotating equipment running continuously per DOK-ING's 24/7 spec</t>
  </si>
  <si>
    <t>Same reasoning — early fault detection on equipment that doesn't get to stop</t>
  </si>
  <si>
    <t>Chemical-resistant centrifugal pump (PTFE-lined)</t>
  </si>
  <si>
    <t>316L stainless steel</t>
  </si>
  <si>
    <t>Off-site wastewater treatment (or on-site neutralization before discharge)</t>
  </si>
  <si>
    <t>Buffers a few hours of combined condensate flow at this small scale</t>
  </si>
  <si>
    <t>Combined net outflow from quench blowdown (GC-005) plus scrubber blowdowns (GC-006, GC-007, GC-015)</t>
  </si>
  <si>
    <t>Consistent with the level-sensing approach used elsewhere in the plant</t>
  </si>
  <si>
    <t>Combined condensate from the H2S and HCl scrubbers will be acidic — needs verification before treatment/disposal</t>
  </si>
  <si>
    <t>Handles the acidic, contaminated liquid without corrosion issues</t>
  </si>
  <si>
    <t>Margin above the 0.2 m³/h average inflow — periodic/batch discharge rather than continuous</t>
  </si>
  <si>
    <t>Same corrosion-resistance logic as GC-004's quench tower</t>
  </si>
  <si>
    <t>Acidic, contaminated liquid can't go straight to normal discharge</t>
  </si>
  <si>
    <t>32-33</t>
  </si>
  <si>
    <t>Thermal conductivity detector (TCD)</t>
  </si>
  <si>
    <t>±1</t>
  </si>
  <si>
    <t>Certified H2/N2 calibration gas mixture (span gas)</t>
  </si>
  <si>
    <t>Margin above the expected 32-33 vol% clean syngas composition</t>
  </si>
  <si>
    <t>Matches the value already used in the mass/energy balance dashboard's gas composition chart</t>
  </si>
  <si>
    <t>Standard for H2 analysis — H2's thermal conductivity is distinctly different from CO/CO2/CH4/N2</t>
  </si>
  <si>
    <t>Typical for a TCD-based process gas analyser</t>
  </si>
  <si>
    <t>Standard for this analyser type and duty</t>
  </si>
  <si>
    <t>Same dual-signal approach as FE-004 — local loop plus SCADA/AI integration</t>
  </si>
  <si>
    <t>Required periodically to verify TCD response against a known reference</t>
  </si>
  <si>
    <t>More frequent than FE-004's moisture analyser — this reading feeds process composition tracking downstream equipment sizing depends on</t>
  </si>
  <si>
    <t>Needs moisture removal, particulate filtration, and pressure/flow regulation before reaching the analyser</t>
  </si>
  <si>
    <t>0-40</t>
  </si>
  <si>
    <t>Non-dispersive infrared (NDIR)</t>
  </si>
  <si>
    <t>&lt;2% of reading at 22 vol% CO2</t>
  </si>
  <si>
    <t>Margin above the expected 28 vol% CO composition</t>
  </si>
  <si>
    <t>Standard for CO — strong, distinct IR absorption band, different technology from SA-001's TCD for H2</t>
  </si>
  <si>
    <t>Typically faster than TCD (SA-001) for this analyser type</t>
  </si>
  <si>
    <t>Consistent with SA-001</t>
  </si>
  <si>
    <t>CO2's IR absorption band can overlap with CO's, and this stream carries ~22 vol% CO2 — a genuinely significant interference source if not properly compensated</t>
  </si>
  <si>
    <t>0-30</t>
  </si>
  <si>
    <t>Margin above the expected 22 vol% CO2 composition</t>
  </si>
  <si>
    <t>Same technology as SA-002 — CO2 has one of the strongest, most well-characterized IR absorption bands of any syngas component</t>
  </si>
  <si>
    <t>Consistent with SA-002</t>
  </si>
  <si>
    <t>Consistent with SA-001/SA-002</t>
  </si>
  <si>
    <t>0-15</t>
  </si>
  <si>
    <t>Margin above the expected 8 vol% CH4 composition</t>
  </si>
  <si>
    <t>Same technology as SA-002/SA-003 — CH4 also has a strong, well-characterized IR absorption band</t>
  </si>
  <si>
    <t>Consistent with SA-002/SA-003</t>
  </si>
  <si>
    <t>Consistent with SA-001/002/003</t>
  </si>
  <si>
    <t>0-20</t>
  </si>
  <si>
    <t>Calculated by difference (100% minus sum of SA-001/002/003/004)</t>
  </si>
  <si>
    <t>±3</t>
  </si>
  <si>
    <t>N/A — calculated in DCS/PLC from SA-001-004</t>
  </si>
  <si>
    <t>Margin above the expected 10 vol% N2 composition</t>
  </si>
  <si>
    <t>N2 is IR-inactive (symmetric diatomic), so NDIR won't work — calculating by difference is standard practice, avoids needing a separate exotic instrument</t>
  </si>
  <si>
    <t>Calculated value still output through the same signal path as the direct measurements</t>
  </si>
  <si>
    <t>Wider than SA-001-004's individual ±1% — this is propagated uncertainty from combining four separate measurements</t>
  </si>
  <si>
    <t>Calculated from SA-001/002/004 composition (H2, CO, CH4), not a direct physical calorimeter</t>
  </si>
  <si>
    <t>N/A — inherits calibration from SA-001/002/004</t>
  </si>
  <si>
    <t>Margin above the calculated ~9.8 MJ/Nm³ expected value</t>
  </si>
  <si>
    <t>Calculated from the established gas composition (SA-001/002/004) using standard component LHV values</t>
  </si>
  <si>
    <t>Same logic as SA-005 — plant already measures H2/CO/CH4 directly, so a combustion-based calorimeter would be redundant hardware</t>
  </si>
  <si>
    <t>Matches the slower of the underlying NDIR/TCD analysers it is calculated from</t>
  </si>
  <si>
    <t>Propagated uncertainty from combining three separate measurements, same reasoning as SA-005</t>
  </si>
  <si>
    <t>Consistent with SA-001-005</t>
  </si>
  <si>
    <t>No separate instrument to calibrate</t>
  </si>
  <si>
    <t>Manual grab sampling (isokinetic probe) — no continuous online analyser</t>
  </si>
  <si>
    <t>Monthly, plus before/after GC-008 media replacement</t>
  </si>
  <si>
    <t>Two ports: upstream of GC-008 (raw) and downstream of GC-007 (clean)</t>
  </si>
  <si>
    <t>CEN/TS 15439 Tar Protocol (solvent impinger + gravimetric analysis), off-site laboratory</t>
  </si>
  <si>
    <t>Matches what was already established at GC-007 — dedicated online tar analysers not justified at this scale</t>
  </si>
  <si>
    <t>Ties sampling to the media-replacement interval already set at GC-008</t>
  </si>
  <si>
    <t>Matches GC-007's established outlet target directly</t>
  </si>
  <si>
    <t>Needed to verify both ends of the tar-removal chain, not just the final result</t>
  </si>
  <si>
    <t>Typical for standard tar-protocol impinger-train sampling</t>
  </si>
  <si>
    <t>Standard, recognized methodology for gasification tar measurement</t>
  </si>
  <si>
    <t>0-5</t>
  </si>
  <si>
    <t>Combined UV fluorescence (H2S) + GC-FPD (COS), single skid-mounted package</t>
  </si>
  <si>
    <t>±0.02 ppm absolute or ±5% of reading, whichever greater</t>
  </si>
  <si>
    <t>Deliberately narrow — prioritizes resolution near the 0.1 ppm compliance target rather than covering a wide dynamic range</t>
  </si>
  <si>
    <t>Matches GC-009's target under normal (non-breakthrough) operation</t>
  </si>
  <si>
    <t>Same resolution reasoning as H2S</t>
  </si>
  <si>
    <t>UV fluorescence alone is not COS-selective; a combined package avoids two entirely separate analysers</t>
  </si>
  <si>
    <t>Slower than the simpler NDIR analysers (SA-002-004) — reflects the more complex combined detection technology</t>
  </si>
  <si>
    <t>Deliberately different from SA-001-006's generic ±1% FS — this instrument's whole purpose is confirming sub-ppm compliance</t>
  </si>
  <si>
    <t>Consistent with SA-001-007</t>
  </si>
  <si>
    <t>5x the normal target — early warning of GC-009 bed breakthrough before levels reach genuinely damaging territory</t>
  </si>
  <si>
    <t>Tighter than SA-001-006's quarterly cycle — justified by how compliance-critical this measurement is</t>
  </si>
  <si>
    <t>Triboelectric (charge transfer) dust monitor</t>
  </si>
  <si>
    <t>Zero/span check against reference dust loading, quarterly</t>
  </si>
  <si>
    <t>Covers GC-010's &lt;5 mg/Nm³ target with margin</t>
  </si>
  <si>
    <t>Needs to reliably resolve readings well below the 5 mg/Nm³ target to be a meaningful verification</t>
  </si>
  <si>
    <t>Deliberately different technology from GC-010's optical monitor — gives real independent verification, not a redundant duplicate</t>
  </si>
  <si>
    <t>Fast enough for continuous trending, not just periodic spot-checks</t>
  </si>
  <si>
    <t>Consistent with SA-001-008</t>
  </si>
  <si>
    <t>Gas has cooled further by this point in the train, downstream of GC-010's ~50°C</t>
  </si>
  <si>
    <t>Standard practice for continuous triboelectric monitors</t>
  </si>
  <si>
    <t>Matches the flow rate established consistently through the entire gas cleaning train (GC-001-013)</t>
  </si>
  <si>
    <t>Same approach as GA-003/GC-012 — suited to this clean, low-flow gas service</t>
  </si>
  <si>
    <t>Matches GC-012's margin approach directly</t>
  </si>
  <si>
    <t>Consistent with SA-001-004 and typical thermal mass flow meter performance</t>
  </si>
  <si>
    <t>Matches SA-009's position in the train — gas has fully cooled by this point</t>
  </si>
  <si>
    <t>Directly matches GC-013's established discharge pressure</t>
  </si>
  <si>
    <t>Consistent with SA-001-009</t>
  </si>
  <si>
    <t>Generous margin around the expected 40°C operating point — a normal-condition location, not extreme-temp like GA-001</t>
  </si>
  <si>
    <t>Consistent with GA-004/GC-004's approach for moderate-temperature process points</t>
  </si>
  <si>
    <t>Standard Class A Pt100 accuracy</t>
  </si>
  <si>
    <t>Fast enough for use in a control loop, not just logging</t>
  </si>
  <si>
    <t>Consistent with SA-001-010</t>
  </si>
  <si>
    <t>Standard thermowell insertion length for a moderate pipe size at this point in the train</t>
  </si>
  <si>
    <t>1/2" NPT threaded</t>
  </si>
  <si>
    <t>Consistent margin approach with GC-013's own pressure transmitter range</t>
  </si>
  <si>
    <t>Directly matches GC-013's discharge pressure and SA-010's operating pressure</t>
  </si>
  <si>
    <t>Same technology as GA-002 for this low-pressure range</t>
  </si>
  <si>
    <t>Slightly less tight than GA-002's ±0.1% — not the reactor's primary safety-critical pressure point</t>
  </si>
  <si>
    <t>Consistent with SA-001-011</t>
  </si>
  <si>
    <t>Standard for small-bore, low-pressure process connections</t>
  </si>
  <si>
    <t>Iron-chromium oxide (Fe2O3/Cr2O3)</t>
  </si>
  <si>
    <t>Carbon steel (SA516 Gr.70) or low-alloy steel</t>
  </si>
  <si>
    <t>Matches the value already used in the mass/energy balance dashboard's temperature profile</t>
  </si>
  <si>
    <t>~50°C exothermic temperature rise from the shift reaction</t>
  </si>
  <si>
    <t>Fe-Cr HTS catalyst thermal stability limit is typically ~500-550°C</t>
  </si>
  <si>
    <t>Inlet, mid-bed, outlet — tracks reaction progress and hot-spot formation, not just one averaged reading</t>
  </si>
  <si>
    <t>Well-suited at 350-400°C — well below GA-001's Type S extreme</t>
  </si>
  <si>
    <t>Classic, standard HTS catalyst chemistry</t>
  </si>
  <si>
    <t>Sized against typical HTS space velocity (~2000 h-1 GHSV) at the ~50 Nm³/h gas flow</t>
  </si>
  <si>
    <t>Does not need exotic materials — 350-400°C is well within standard carbon steel service</t>
  </si>
  <si>
    <t>Dedicated NDIR CO analyser at HTS outlet</t>
  </si>
  <si>
    <t>Matches SA-002's established clean syngas composition directly</t>
  </si>
  <si>
    <t>Based on 75% HTS-stage conversion of the 28% inlet</t>
  </si>
  <si>
    <t>Matches the value already established at HB-001</t>
  </si>
  <si>
    <t>Typical for Fe-Cr HTS catalyst under normal operation, assuming upstream H2S removal is performing as designed</t>
  </si>
  <si>
    <t>Same technology as SA-002, but a separate instrument — SA-002 sits upstream of WGS entirely</t>
  </si>
  <si>
    <t>HB-003 — Heat Exchanger (WGS)</t>
  </si>
  <si>
    <t>Shell-and-tube heat exchanger</t>
  </si>
  <si>
    <t>Carbon steel (SA516 Gr.70)</t>
  </si>
  <si>
    <t>Standard, robust choice for this duty and scale</t>
  </si>
  <si>
    <t>Matches HB-001's HTS outlet directly</t>
  </si>
  <si>
    <t>Matches the WGS-LTS inlet temperature already established in the mass/energy balance dashboard</t>
  </si>
  <si>
    <t>Ambient boiler feed water</t>
  </si>
  <si>
    <t>Estimated from ~50 kg/h gas flow, ~1.8 kJ/kg路K specific heat, 180°C drop (400°C to 220°C)</t>
  </si>
  <si>
    <t>Same material logic as HB-001 — this range does not need exotic alloys</t>
  </si>
  <si>
    <t>Standard for water/steam service at this scale</t>
  </si>
  <si>
    <t>Consistent order of magnitude with GC-013's 50 mbar(g) discharge, with margin (100 mbar = 0.1 bar)</t>
  </si>
  <si>
    <t>HB-004 — WGS Reactor LTS</t>
  </si>
  <si>
    <t>Copper-zinc oxide on alumina (Cu/ZnO/Al2O3)</t>
  </si>
  <si>
    <t>&lt;0.1 ppm S (cumulative)</t>
  </si>
  <si>
    <t>Matches HB-005's hot-side outlet directly</t>
  </si>
  <si>
    <t>Smaller exothermic rise than HTS's 50°C — less CO remains to convert at this stage</t>
  </si>
  <si>
    <t>Classic LTS catalyst — more active at lower temperature than Fe-Cr, but far more sulfur-sensitive</t>
  </si>
  <si>
    <t>Larger than HB-001's 25L — LTS kinetics are slower even though equilibrium is more favorable</t>
  </si>
  <si>
    <t>Cu catalyst sinters at much lower temperatures than Fe-Cr — genuinely tighter ceiling than HTS's 500°C</t>
  </si>
  <si>
    <t>This is exactly why GC-009's outlet target was set to &lt;0.1 ppm H2S/COS — this catalyst is what that upstream spec was protecting</t>
  </si>
  <si>
    <t>HB-005 — Steam Generator (WGS)</t>
  </si>
  <si>
    <t>Demineralized water, per boiler manufacturer spec (e.g. &lt;10 ppb silica, deaerated)</t>
  </si>
  <si>
    <t>Preheated feed water from HB-005 (150°C) + supplementary heat (recovered EU-006 CHP heat or trim electric/gas heater)</t>
  </si>
  <si>
    <t>Derived from HB-002's 4:1 steam:CO molar ratio at the established ~28 vol% CO, ~50 Nm³/h gas flow</t>
  </si>
  <si>
    <t>Same supply-header approach as GA-004's gasifier steam</t>
  </si>
  <si>
    <t>Superheated, matching GA-004's plant-wide steam supply pattern</t>
  </si>
  <si>
    <t>Standard requirement to protect the generator from scaling/corrosion</t>
  </si>
  <si>
    <t>Matches HB-002's value exactly — this is the demand this generator is sized against</t>
  </si>
  <si>
    <t>Same technology as GA-003's steam metering</t>
  </si>
  <si>
    <t>Layered bed: activated carbon (bulk CO2/CH4 removal) + zeolite molecular sieve (final CO/N2 polishing)</t>
  </si>
  <si>
    <t>Trace impurity analyser (NDIR for CO/CO2, GC for N2) — measures residual contaminants, not H2 directly</t>
  </si>
  <si>
    <t>DOK-ING's actual stated target (ISO 14687 Grade D) — not an assumption, used directly</t>
  </si>
  <si>
    <t>Tight margin below design target before triggering an off-spec alarm</t>
  </si>
  <si>
    <t>Matches the post-WGS composition already established in the mass/energy balance dashboard's gas composition chart</t>
  </si>
  <si>
    <t>Reaching 99.97% needs more sophisticated multi-bed cycling with better pressure equalization than a simple 2-bed unit</t>
  </si>
  <si>
    <t>Standard industrial approach for high-purity H2 PSA — single-adsorbent beds do not reach this purity reliably</t>
  </si>
  <si>
    <t>At 99.97% purity, directly measuring H2 has no resolution to detect the tiny remaining impurity — same logic as SA-005 in reverse</t>
  </si>
  <si>
    <t>Slower than the simple composition analysers (SA-001-004) — trace-level multi-species analysis is inherently more complex</t>
  </si>
  <si>
    <t>Consistent with SA-001-012</t>
  </si>
  <si>
    <t>~H2 25%, CO2 55%, CH4 10%, CO+N2 10%</t>
  </si>
  <si>
    <t>~8</t>
  </si>
  <si>
    <t>Recycled to GA-001 gasifier via HB-009 (PSA Tail Gas Handler) as supplemental fuel</t>
  </si>
  <si>
    <t>Matches the unconfirmed assumption already flagged and tracked since GC-006 — still pending DOK-ING/vendor confirmation</t>
  </si>
  <si>
    <t>Matches the flow established consistently through the whole gas train (GC-012/013, SA-010, HB-006)</t>
  </si>
  <si>
    <t>Calculated: 55% feed H2 content x 50 Nm3/h x 75% recovery — converts to ~1.85 kg/h, modestly below DOK-ING's 50 kg/day (2.083 kg/h) target</t>
  </si>
  <si>
    <t>Feed flow minus product flow (50 - 20.6)</t>
  </si>
  <si>
    <t>Rejected stream enriched in non-H2 species since 75% of H2 was pulled into product — indicative, not a precise PSA cycle simulation</t>
  </si>
  <si>
    <t>Still meaningful fuel value from unrecovered H2 and CH4 — lower than SA-006's 9.8 MJ/Nm3, but substantial enough to justify recycling</t>
  </si>
  <si>
    <t>Matches the design intent already established for HB-009 — closes a small efficiency loop rather than venting</t>
  </si>
  <si>
    <t>~7.6:1</t>
  </si>
  <si>
    <t>Within DOK-ING's actual stated 3-10 bar PSA discharge range — real data, not an assumption</t>
  </si>
  <si>
    <t>Near-atmospheric, standard for PSA blowdown/purge desorption</t>
  </si>
  <si>
    <t>Standard for a small PSA system at this scale</t>
  </si>
  <si>
    <t>Folded into HB-012 as a multi-stage compressor (low pressure to PSA pressure, then PSA pressure to storage pressure) rather than a separate equipment tag</t>
  </si>
  <si>
    <t>From ~1.05 bar(a) (WGS train outlet, ~50 mbar(g)) to ~8 bar(a) (PSA adsorption pressure + atmospheric)</t>
  </si>
  <si>
    <t>Margin above the 7 bar(g) design adsorption pressure</t>
  </si>
  <si>
    <t>One per adsorber vessel (4, matching HB-006's vessel count) plus one on the common feed/product header</t>
  </si>
  <si>
    <t>~25</t>
  </si>
  <si>
    <t>Recycled to GA-001 gasifier as supplemental fuel</t>
  </si>
  <si>
    <t>Combined TCD (H2) + electrochemical (H2S)</t>
  </si>
  <si>
    <t>Matches HB-007's established tail gas flow directly</t>
  </si>
  <si>
    <t>Matches HB-007's established tail gas composition</t>
  </si>
  <si>
    <t>Gas has already passed through GC-006/GC-009 H2S removal upstream — PSA itself does not introduce sulfur</t>
  </si>
  <si>
    <t>Matches HB-007's established disposition exactly</t>
  </si>
  <si>
    <t>Small buffer ahead of the gasifier feed, consistent with the tiny scale throughout this plant</t>
  </si>
  <si>
    <t>Small blower rather than a full compressor — tail gas exits PSA regeneration at ~0.2 bar(g) (HB-008), already close to GA-002 reactor pressure</t>
  </si>
  <si>
    <t>Same TCD technology as SA-001 for H2, paired with electrochemical H2S check before returning gas to the gasifier</t>
  </si>
  <si>
    <t>Polymeric hollow-fiber membrane</t>
  </si>
  <si>
    <t>Polyimide</t>
  </si>
  <si>
    <t>95-98</t>
  </si>
  <si>
    <t>Standard, cost-effective choice at this scale</t>
  </si>
  <si>
    <t>Common H2-selective polymeric membrane material</t>
  </si>
  <si>
    <t>55% H2 content (HB-006) x ~8 bar(a) system pressure, consistent with HB-008 PSA feed compression stage</t>
  </si>
  <si>
    <t>Falls short of DOK-ING's 99.97% target on its own — genuine trade-off against PSA, not papered over</t>
  </si>
  <si>
    <t>Mid-range typical value for polyimide hollow-fiber membranes</t>
  </si>
  <si>
    <t>Higher than PSA's 75% (HB-007) — membranes don't waste product gas in a purge/blowdown cycle</t>
  </si>
  <si>
    <t>Matches the flow established throughout the plant</t>
  </si>
  <si>
    <t>55% x 50 Nm3/h x 85% recovery — better than PSA's 20.6 Nm3/h, consistent with the recovery trade-off</t>
  </si>
  <si>
    <t>Matches the established gas temperature at this point in the train (SA-009/010/011)</t>
  </si>
  <si>
    <t>Comfortably within tolerance given upstream GC-006/GC-009 already bring H2S down to &lt;0.1 ppm</t>
  </si>
  <si>
    <t>Sized against the flow/permeance relationship at this small scale</t>
  </si>
  <si>
    <t>Basic redundancy/staging at this small scale</t>
  </si>
  <si>
    <t>Modest flow-path pressure drop, separate from the larger transmembrane driving force</t>
  </si>
  <si>
    <t>Shorter than PSA's adsorbent — polymeric membranes need more frequent replacement</t>
  </si>
  <si>
    <t>PEM (Proton Exchange Membrane)</t>
  </si>
  <si>
    <t>&gt;99.99</t>
  </si>
  <si>
    <t>~1</t>
  </si>
  <si>
    <t>Deionized water, resistivity &gt;1 MΩ·cm</t>
  </si>
  <si>
    <t>400V / 3-phase</t>
  </si>
  <si>
    <t>Matches the technology already specified in the equipment reference documentation</t>
  </si>
  <si>
    <t>Modest, auxiliary-appropriate scale — not sized to patch the WGS+PSA shortfall</t>
  </si>
  <si>
    <t>10 kW / ~55 kWh/Nm3 typical PEM efficiency</t>
  </si>
  <si>
    <t>Genuine PEM advantage — inherently purer than syngas-derived routes since never diluted by combustion by-products</t>
  </si>
  <si>
    <t>Standard mid-range figure for commercial PEM electrolysers</t>
  </si>
  <si>
    <t>PEM stacks commonly produce H2 at moderate pressure directly — needs far less compression to reach shared storage than the WGS+PSA route</t>
  </si>
  <si>
    <t>Stoichiometric water demand (~0.81 L/Nm3) plus practical system losses</t>
  </si>
  <si>
    <t>PEM membranes are sensitive to contamination</t>
  </si>
  <si>
    <t>Standard industry figure for PEM stacks — roughly 7-8 years at continuous operation</t>
  </si>
  <si>
    <t>Compact, skid-mounted unit at this small scale</t>
  </si>
  <si>
    <t>Standard European 3-phase industrial supply</t>
  </si>
  <si>
    <t>Diaphragm compressor (H2 stage) + integrated low-pressure rotary lobe blower (pre-PSA feed stage, per HB-008)</t>
  </si>
  <si>
    <t>Interstage water/air cooling</t>
  </si>
  <si>
    <t>Oil-lubricated crankcase, oil-free process gas (diaphragm isolation)</t>
  </si>
  <si>
    <t>Diaphragm technology standard for high-purity H2 — zero process-gas contact with lubricant</t>
  </si>
  <si>
    <t>PSA product/discharge pressure, matching HB-008's design adsorption pressure directly</t>
  </si>
  <si>
    <t>DOK-ING's higher stated dispensing pressure — 350 bar achievable as a lower operating mode through the same equipment</t>
  </si>
  <si>
    <t>Matches HB-007's established PSA product flow directly</t>
  </si>
  <si>
    <t>Needed to reach a ~100:1 pressure ratio (7 to 700 bar) — typical for diaphragm H2 compressors at this range</t>
  </si>
  <si>
    <t>Estimated for this flow and compression ratio at small scale</t>
  </si>
  <si>
    <t>Standard requirement — compression heat builds significantly across 4 stages at this ratio</t>
  </si>
  <si>
    <t>The diaphragm keeps lubricant entirely separate from the H2 stream</t>
  </si>
  <si>
    <t>Standard practical limit before requiring more aggressive interstage cooling</t>
  </si>
  <si>
    <t>10% margin above the 700 bar(g) design discharge — standard practice</t>
  </si>
  <si>
    <t>Type IV composite (carbon-fiber wrapped, polymer liner)</t>
  </si>
  <si>
    <t>350-700</t>
  </si>
  <si>
    <t>HDPE liner with carbon fiber composite overwrap</t>
  </si>
  <si>
    <t>0-1000</t>
  </si>
  <si>
    <t>Point-type catalytic/electrochemical H2 sensors, area monitoring</t>
  </si>
  <si>
    <t>Zone 2 (Zone 1 immediately around valves/fittings)</t>
  </si>
  <si>
    <t>Standard for 700 bar H2 storage — much lighter than steel</t>
  </si>
  <si>
    <t>Sized as roughly one day's production buffer, matching DOK-ING's ~50 kg/day target directly</t>
  </si>
  <si>
    <t>Real industry-standard rating for 700 bar dispensing systems (SAE/ISO Type IV tanks)</t>
  </si>
  <si>
    <t>Covers both of DOK-ING's stated dispensing pressure options</t>
  </si>
  <si>
    <t>Simple cascade bank (low/medium/high pressure) — standard practice for efficient H2 dispensing</t>
  </si>
  <si>
    <t>Matches the Type IV vessel construction specified above</t>
  </si>
  <si>
    <t>Set at the design pressure (MAWP) itself — standard PRV practice, not above it</t>
  </si>
  <si>
    <t>Margin above the 875 bar(g) design pressure</t>
  </si>
  <si>
    <t>Compressed gas heating during fast-fill is a genuine consideration</t>
  </si>
  <si>
    <t>Essential given H2's wide flammability range</t>
  </si>
  <si>
    <t>Standard classification for outdoor H2 storage with adequate ventilation</t>
  </si>
  <si>
    <t>Dibenzyltoluene (DBT)</t>
  </si>
  <si>
    <t>Platinum/Palladium on alumina (Pt/Pd/Al2O3)</t>
  </si>
  <si>
    <t>N/A — reaction is exothermic; waste heat recoverable for integration elsewhere (e.g. FE-007 dryer or HB-004 steam generation)</t>
  </si>
  <si>
    <t>Standard, widely-used LOHC carrier compound</t>
  </si>
  <si>
    <t>Margin above HB-007's established ~1.85 kg/h PSA product rate</t>
  </si>
  <si>
    <t>Mid-range for DBT hydrogenation (typically 150-200°C)</t>
  </si>
  <si>
    <t>Mid-range for LOHC hydrogenation (typically 30-50 bar)</t>
  </si>
  <si>
    <t>Standard catalyst for DBT hydrogenation</t>
  </si>
  <si>
    <t>Within DBT's typical 6-7 wt% H2 loading capacity</t>
  </si>
  <si>
    <t>Sized for the modest 2 kg H2/h capacity at this scale</t>
  </si>
  <si>
    <t>This equipment is a heat source, not a consumer — opposite role from most other heat source fields</t>
  </si>
  <si>
    <t>Twin-tank (separate lean and rich carrier storage)</t>
  </si>
  <si>
    <t>15-40</t>
  </si>
  <si>
    <t>1_5</t>
  </si>
  <si>
    <t>Carbon steel (with liner if needed for DBT compatibility)</t>
  </si>
  <si>
    <t>Rich oil transported off-site to HB-016 dehydrogenation (or on-site if co-located)</t>
  </si>
  <si>
    <t>Matches the Lean/Rich Oil framing already in the equipment name</t>
  </si>
  <si>
    <t>Sized from HB-014's carrier throughput (~0.031 m³/h) for roughly a day's buffer</t>
  </si>
  <si>
    <t>Matches lean tank size — symmetric twin-tank design, since lean-out equals rich-in over a full cycle</t>
  </si>
  <si>
    <t>Ambient — the entire appeal of LOHC over compressed storage (HB-013)</t>
  </si>
  <si>
    <t>Near-atmospheric — no pressure vessel design requirements, unlike HB-013</t>
  </si>
  <si>
    <t>Standard for organic liquid storage at these mild conditions</t>
  </si>
  <si>
    <t>Mid-range for DBT's typical H2 storage density</t>
  </si>
  <si>
    <t>Matches the design intent already established for HB-016</t>
  </si>
  <si>
    <t>Platinum-based (Pt/Al2O3)</t>
  </si>
  <si>
    <t>Typically off-site (per HB-015 interface); on-site optional if heat integration with HB-014 is pursued</t>
  </si>
  <si>
    <t>Matches HB-014/HB-015's established carrier directly</t>
  </si>
  <si>
    <t>Matches HB-014's loading capacity — symmetric, what's loaded must be releasable</t>
  </si>
  <si>
    <t>Dehydrogenation runs hotter than hydrogenation (HB-014's 170°C) — endothermic reactions favor higher temperature</t>
  </si>
  <si>
    <t>Lower than HB-014's 40 bar — releasing H2 gas favors lower pressure (Le Chatelier)</t>
  </si>
  <si>
    <t>Same catalyst family as HB-014's Pt/Pd, optimized for the reverse reaction</t>
  </si>
  <si>
    <t>Calculated from DBT's ~67 kJ/mol H2 dehydrogenation enthalpy at 2 kg H2/h (1000 mol H2/h)</t>
  </si>
  <si>
    <t>Matches the design intent already established, with the heat-integration opportunity noted as a future option</t>
  </si>
  <si>
    <t>Slightly below HB-014's 6.2 wt% loading — reflects minor round-trip losses</t>
  </si>
  <si>
    <t>Activated carbon polishing bed (removes trace DBT carrier vapor)</t>
  </si>
  <si>
    <t>Trace DBT carrier vapor, trace catalyst decomposition products</t>
  </si>
  <si>
    <t>&gt;99</t>
  </si>
  <si>
    <t>Rejoins shared H2 Storage Vessel (HB-013) via HB-012 compressor, merging with the primary WGS+PSA route</t>
  </si>
  <si>
    <t>Simple polishing duty, similar principle to GC-009's activated carbon approach for trace contaminants</t>
  </si>
  <si>
    <t>Slightly relaxed from HB-006's 99.97% — this stream remixes with the main PSA-purified flow in shared storage</t>
  </si>
  <si>
    <t>Matches HB-016's release capacity directly</t>
  </si>
  <si>
    <t>Matches HB-016's dehydrogenation operating pressure</t>
  </si>
  <si>
    <t>Small pressure drop across a simple polishing bed</t>
  </si>
  <si>
    <t>The specific contaminants this LOHC-origin stream carries that the WGS+PSA route never has to deal with</t>
  </si>
  <si>
    <t>Minimal H2 loss expected — a much smaller trade-off than PSA's 75% recovery, since this filters trace vapor, not separates a mixed gas stream</t>
  </si>
  <si>
    <t>Matches the shared-infrastructure design decision already established</t>
  </si>
  <si>
    <t>HB-017 — H₂ Purification (Post-LOHC Dehydrogenation)</t>
  </si>
  <si>
    <t>HB-018 — H₂ Dispensing Station (Mobility/FCEV Refuelling)</t>
  </si>
  <si>
    <t>350/700</t>
  </si>
  <si>
    <t>SAE J2601 (H70/H35)</t>
  </si>
  <si>
    <t>SAE J2600</t>
  </si>
  <si>
    <t>Light-duty FCEV (700 bar) and heavy-duty/bus (350 bar)</t>
  </si>
  <si>
    <t>Coriolis mass flow meter, custody-transfer grade, integrated billing</t>
  </si>
  <si>
    <t>HB-013 shared H2 Storage Vessel (fed by both WGS+PSA and LOHC pathways)</t>
  </si>
  <si>
    <t>Matches DOK-ING's actual stated dual dispensing pressure options directly</t>
  </si>
  <si>
    <t>Standard protocol already referenced at HB-012; covers both 700 bar (H70) and 350 bar (H35) fills</t>
  </si>
  <si>
    <t>Reasonable for this small-scale station — not sized to match large highway-station throughput</t>
  </si>
  <si>
    <t>Standard nozzle/receptacle interface paired with J2601 fuelling protocol</t>
  </si>
  <si>
    <t>Mandatory for 700 bar fast-fill compliance under SAE J2601 — prevents excessive tank temperature rise during fill</t>
  </si>
  <si>
    <t>Matches the dual-pressure capability directly</t>
  </si>
  <si>
    <t>Needed to support DOK-ING's stated dual gate-fee + product-sales business model</t>
  </si>
  <si>
    <t>Closes the loop on the shared-infrastructure design decision</t>
  </si>
  <si>
    <t>Cathode air flow rate control (process air also serves as primary cooling medium)</t>
  </si>
  <si>
    <t>Typical mid-range for commercial SOFC — high temperature is the defining characteristic of this fuel cell type</t>
  </si>
  <si>
    <t>Distributed across the stack to catch hot spots and ensure thermal uniformity</t>
  </si>
  <si>
    <t>750°C sits comfortably within Type K's reliable range — doesn't need GA-001's Type S justification</t>
  </si>
  <si>
    <t>150°C margin above operating — protects ceramic components and seals from thermal stress damage</t>
  </si>
  <si>
    <t>Genuinely restrictive — SOFC's ceramic construction is vulnerable to thermal cycling stress, close to the real physical limit</t>
  </si>
  <si>
    <t>Same airflow supplying oxidant also removes excess heat — no separate liquid cooling loop needed</t>
  </si>
  <si>
    <t>DC (stack), AC via inverter for grid/plant use</t>
  </si>
  <si>
    <t>Digital power meter (kWh + kW instantaneous), grid-tie compatible</t>
  </si>
  <si>
    <t>Sized against a modest ~1 kg H2/h dispatch scenario at 55% electrical efficiency — not all available H2 committed here, one of four parallel dispatch options</t>
  </si>
  <si>
    <t>Among the highest of any fuel cell/power-gen technology — matches the reference documentation's high-efficiency characterization</t>
  </si>
  <si>
    <t>Typical single-pass utilization for SOFC</t>
  </si>
  <si>
    <t>Stack produces DC; standard inverter needed for grid-tie or plant AC use</t>
  </si>
  <si>
    <t>H2 (55%) + CO (4.2%) combined, both usable — genuine SOFC advantage over PEM (H2-only, CO-poisoned)</t>
  </si>
  <si>
    <t>Near-atmospheric — SOFC doesn't need PEM's elevated fuel-side pressure</t>
  </si>
  <si>
    <t>Common nominal voltage for a small commercial SOFC stack at this power class</t>
  </si>
  <si>
    <t>Derived directly: 18,000 W / 48 V</t>
  </si>
  <si>
    <t>Standard for tracking both cumulative energy and real-time output</t>
  </si>
  <si>
    <t>Digital power meter with integrated protection relay (over/under voltage, frequency, reverse power)</t>
  </si>
  <si>
    <t>&lt;250</t>
  </si>
  <si>
    <t>Slightly below EU-002's SOFC (18kWe) — reflects genuinely lower electrical efficiency of combustion vs electrochemical conversion</t>
  </si>
  <si>
    <t>Higher than electrical output — gas engines characteristically produce more recoverable heat than fuel cells</t>
  </si>
  <si>
    <t>Realistic for a small-scale reciprocating gas engine — notably lower than SOFC's 55% (EU-002)</t>
  </si>
  <si>
    <t>Matches SA-006's calculated syngas LHV directly — same fuel value used, not a separate assumption</t>
  </si>
  <si>
    <t>Consistent with the low-pressure gas distribution used elsewhere in the plant</t>
  </si>
  <si>
    <t>Calculated: (15 kWe / 35% efficiency) / 9.8 MJ/Nm3 — not picked independently</t>
  </si>
  <si>
    <t>Matches HB-011's grid connection standard — consistent European industrial voltage</t>
  </si>
  <si>
    <t>European grid standard</t>
  </si>
  <si>
    <t>Standard genset grid-interconnection protection package</t>
  </si>
  <si>
    <t>Standard 4-pole generator speed for 50Hz operation</t>
  </si>
  <si>
    <t>Reasonable modern lean-burn gas engine emission standard</t>
  </si>
  <si>
    <t>Typical for a small reciprocating gas engine</t>
  </si>
  <si>
    <t>Roughly 4x the 15.8 Nm3/h fuel flow (EU-003), accounting for combustion air addition</t>
  </si>
  <si>
    <t>~60% of EU-003's 20 kWth total — typical split favoring jacket cooling for reciprocating engines</t>
  </si>
  <si>
    <t>Remaining ~40% of the total, from exhaust gas heat recovery</t>
  </si>
  <si>
    <t>Matches EU-003's established CHP thermal output exactly — sum of the two lines above</t>
  </si>
  <si>
    <t>Sized for the 12 kWth jacket duty at a ~10°C temperature rise</t>
  </si>
  <si>
    <t>Matches the ambient plant utility water temperature already used elsewhere (e.g. GA-004)</t>
  </si>
  <si>
    <t>Supply temperature plus the ~10°C rise used in the flow rate calculation</t>
  </si>
  <si>
    <t>20 kWth / ~42.9 kW fuel input — combined with EU-003's 35% electrical efficiency, gives ~82% total CHP efficiency</t>
  </si>
  <si>
    <t>&lt;15</t>
  </si>
  <si>
    <t>Grid-tie inverter (AC-DC-AC conversion from high-speed generator)</t>
  </si>
  <si>
    <t>Smaller than EU-003's gas engine — reflects typical smaller-scale commercial microturbine unit sizes</t>
  </si>
  <si>
    <t>Lower than EU-003's 35% — genuine microturbine trade-off (efficiency sacrificed for lower emissions/maintenance)</t>
  </si>
  <si>
    <t>4 bar(g) — notably higher than EU-003's 100 mbar(g); fuel must be injected against the turbine's own internal compressor discharge pressure</t>
  </si>
  <si>
    <t>Lower than EU-004's 450°C exhaust — different thermodynamic cycle characteristic</t>
  </si>
  <si>
    <t>Roughly 10x fuel flow — microturbines use much more excess air for turbine cooling than reciprocating engines</t>
  </si>
  <si>
    <t>Matches SA-006 directly — same fuel, consistent reuse</t>
  </si>
  <si>
    <t>Notably higher than EU-003's 100 mbar(g) — fuel must be injected against the turbine's own internal compressor discharge pressure</t>
  </si>
  <si>
    <t>Achieved via power electronics (AC-DC-AC) converting the raw high-frequency generator output to grid-standard voltage</t>
  </si>
  <si>
    <t>Genuine microturbine advantage — lean premix combustion gives much lower NOx than EU-003's reciprocating engine</t>
  </si>
  <si>
    <t>Required because the raw generator output frequency does not match grid frequency at these turbine speeds</t>
  </si>
  <si>
    <t>&gt;99.97</t>
  </si>
  <si>
    <t>Liquid cooling loop (coolant circulation, radiator/heat exchanger)</t>
  </si>
  <si>
    <t>Consistent technology with HB-011's electrolyser — same membrane chemistry, opposite direction</t>
  </si>
  <si>
    <t>Mid-range among the four CHP options (SOFC 18kWe, Gas Engine 15kWe, Microturbine 12kWe)</t>
  </si>
  <si>
    <t>Solid PEM efficiency, modestly below SOFC's 55% (EU-002)</t>
  </si>
  <si>
    <t>The critical constraint — PEM is CO-poisoned even at trace levels, unlike SOFC. Draws from HB-013 purified storage</t>
  </si>
  <si>
    <t>Typical PEM stack inlet pressure — needs pressure letdown from HB-013's 350-700 bar storage</t>
  </si>
  <si>
    <t>Calculated: (15 kWe / 50% efficiency) / 10.8 MJ/Nm3 (H2 volumetric LHV)</t>
  </si>
  <si>
    <t>Consistent nominal voltage choice with EU-002's SOFC</t>
  </si>
  <si>
    <t>Matches HB-011's electrolyser stack lifetime — same PEM membrane durability characteristics</t>
  </si>
  <si>
    <t>Genuine difference from EU-001's air-cooling — PEM operates at 60-80°C, far too low for cathode-air cooling</t>
  </si>
  <si>
    <t>EU-006 — H₂ Fuel Cell (Stationary)</t>
  </si>
  <si>
    <t>EU-007 — Flare / Emergency Burner</t>
  </si>
  <si>
    <t>Enclosed ground flare</t>
  </si>
  <si>
    <t>Continuous pilot with UV/IR flame supervision</t>
  </si>
  <si>
    <t>UV/IR flame detector</t>
  </si>
  <si>
    <t>Raw syngas to pure H2 — composition variable depending on where in the process the emergency release originates</t>
  </si>
  <si>
    <t>Zone 1 (immediate vicinity), Zone 2 (extended area)</t>
  </si>
  <si>
    <t>2x margin above the plant's established ~50 Nm³/h normal flow — sized for worst-case emergency blowdown</t>
  </si>
  <si>
    <t>More practical at this small scale than an elevated stack</t>
  </si>
  <si>
    <t>Standard practice — ensures reliable ignition exactly when needed</t>
  </si>
  <si>
    <t>Standard for reliable flame detection at the pilot/flare tip</t>
  </si>
  <si>
    <t>This flare could receive gas from anywhere in the process (GA-001 through HB-013)</t>
  </si>
  <si>
    <t>Standard design capability for a modern enclosed ground flare</t>
  </si>
  <si>
    <t>Reasonably conservative facility boundary limit</t>
  </si>
  <si>
    <t>Standard API 521 limit for areas where personnel may be continuously present</t>
  </si>
  <si>
    <t>Consistent classification pattern with HB-013's storage area</t>
  </si>
  <si>
    <t>EU-008 — Cooling Tower</t>
  </si>
  <si>
    <t>Induced draft, counterflow packaged cooling tower</t>
  </si>
  <si>
    <t>~0.05</t>
  </si>
  <si>
    <t>Some margin above EU-004's established 12 kWth jacket cooling load</t>
  </si>
  <si>
    <t>Standard small-scale industrial type at this duty</t>
  </si>
  <si>
    <t>Matches EU-004's established cooling water supply temperature directly</t>
  </si>
  <si>
    <t>Matches EU-004's established return temperature directly</t>
  </si>
  <si>
    <t>Matches EU-004's established cooling water flow rate</t>
  </si>
  <si>
    <t>Small unit, consistent with the tiny scale throughout this plant</t>
  </si>
  <si>
    <t>Estimated from evaporative loss (~1.8 L/kWh rejected) plus blowdown/drift</t>
  </si>
  <si>
    <t>Biocide and scale/corrosion inhibitor treatment needed to prevent fouling</t>
  </si>
  <si>
    <t>Mandatory for open evaporative cooling water systems — genuine regulatory requirement</t>
  </si>
  <si>
    <t>Digital multifunction revenue meter</t>
  </si>
  <si>
    <t>Class 0.5S (IEC 62053-22)</t>
  </si>
  <si>
    <t>Modbus TCP/RTU, DLMS/COSEM for utility billing interface</t>
  </si>
  <si>
    <t>Standard for combined generation/consumption metering at grid interconnection</t>
  </si>
  <si>
    <t>Covers a plausible combination of CHP units running together, not just the single largest unit (EU-002's 18kWe)</t>
  </si>
  <si>
    <t>Revenue-grade accuracy, consistent with the plant's dual gate-fee + product-sales business model</t>
  </si>
  <si>
    <t>Matches the established grid voltage standard used throughout (HB-011, EU-003, EU-005)</t>
  </si>
  <si>
    <t>Modbus matches the plant's internal SCADA/AI standard; DLMS/COSEM is typical for utility billing meters</t>
  </si>
  <si>
    <t>Plant both generates (CHP units) and draws from grid — bidirectional metering needed</t>
  </si>
  <si>
    <t>Standard 15-minute utility interval data logging</t>
  </si>
  <si>
    <t>Grid-connected generation with multiple sources typically requires Distribution Network Operator approval</t>
  </si>
  <si>
    <t>EU-010 — UPS / Battery Buffer</t>
  </si>
  <si>
    <t>Online double-conversion UPS</t>
  </si>
  <si>
    <t>Lithium-ion (LiFePO4)</t>
  </si>
  <si>
    <t>Modbus TCP/RTU to plant SCADA/AI layer</t>
  </si>
  <si>
    <t>Continuous clean power regardless of grid quality — standard for critical control/safety systems</t>
  </si>
  <si>
    <t>Sized for critical control/instrumentation loads rather than full plant process power backup</t>
  </si>
  <si>
    <t>Increasingly standard — better cycle life and smaller footprint than traditional VRLA</t>
  </si>
  <si>
    <t>Long enough to execute a safe plant shutdown sequence, not extended standalone operation</t>
  </si>
  <si>
    <t>Typical for a UPS at this power class</t>
  </si>
  <si>
    <t>Matches the plant's established grid voltage standard (EU-009, HB-011, EU-003, EU-005)</t>
  </si>
  <si>
    <t>Reasonable for Li-ion technology, faster than traditional VRLA batteries</t>
  </si>
  <si>
    <t>Essential for monitoring backup capacity and predictive maintenance</t>
  </si>
  <si>
    <t>Consistent with the plant-wide communication standard — Li-ion requires BMS cell balancing/protection</t>
  </si>
  <si>
    <t>EU-011 — Heat Recovery Unit</t>
  </si>
  <si>
    <t>Gas-to-water shell-and-tube heat exchanger</t>
  </si>
  <si>
    <t>Water (closed loop)</t>
  </si>
  <si>
    <t>~0.4</t>
  </si>
  <si>
    <t>Stainless steel 304/316</t>
  </si>
  <si>
    <t>Consistent approach with HB-005's earlier heat-recovery design choice</t>
  </si>
  <si>
    <t>Matches EU-005's established microturbine exhaust temperature directly</t>
  </si>
  <si>
    <t>Cooled enough to extract most useful heat while avoiding condensation issues</t>
  </si>
  <si>
    <t>Sized for the recovered duty at a ~20°C water-side temperature rise</t>
  </si>
  <si>
    <t>Calculated from EU-005's 150 Nm³/h exhaust flow cooling 280°C to 120°C</t>
  </si>
  <si>
    <t>Modest, consistent with the small scale throughout this plant</t>
  </si>
  <si>
    <t>Moderate temperature with some corrosive potential from combustion byproducts</t>
  </si>
  <si>
    <t>EU-012 — District Heating HX</t>
  </si>
  <si>
    <t>Plate heat exchanger</t>
  </si>
  <si>
    <t>~0.72</t>
  </si>
  <si>
    <t>Stainless steel 316 plates</t>
  </si>
  <si>
    <t>Compact, efficient, standard for hydraulically isolating the plant internal loop from an external district network</t>
  </si>
  <si>
    <t>Slightly conservative combined capacity from EU-004 (20kWth) + EU-006 (9kWth) — not all sources necessarily simultaneous</t>
  </si>
  <si>
    <t>Aggregated internal heat recovery loop at a useful district-heating temperature — higher than EU-004's jacket-cooling loop alone</t>
  </si>
  <si>
    <t>30°C drop on the primary side, typical for this duty</t>
  </si>
  <si>
    <t>Slightly below primary supply — normal HX approach temperature difference</t>
  </si>
  <si>
    <t>Matches the primary-side 30°C drop pattern</t>
  </si>
  <si>
    <t>Sized for the 25 kWth duty at the 30°C primary-side temperature drop</t>
  </si>
  <si>
    <t>Same order of magnitude as primary, consistent with the matched temperature drops</t>
  </si>
  <si>
    <t>Typical closed-loop internal heating circuit design pressure</t>
  </si>
  <si>
    <t>Typical district heating network design pressure</t>
  </si>
  <si>
    <t>Standard for plate heat exchangers in heating service</t>
  </si>
  <si>
    <t>EN 1434 (Class 2)</t>
  </si>
  <si>
    <t>Class 2</t>
  </si>
  <si>
    <t>M-Bus (wired), integrated with plant billing/utility system</t>
  </si>
  <si>
    <t>District heating network connection point (EU-007 secondary side)</t>
  </si>
  <si>
    <t>Standard European heat metering standard</t>
  </si>
  <si>
    <t>Margin above EU-007's established ~0.72 m³/h secondary-side design flow</t>
  </si>
  <si>
    <t>Covers EU-007's established 45-75°C secondary operating range with generous margin</t>
  </si>
  <si>
    <t>Standard commercial accuracy under EN 1434 — matches the metering standard directly</t>
  </si>
  <si>
    <t>M-Bus is the standard heat-metering protocol, distinct from EU-009's DLMS/COSEM electrical billing approach</t>
  </si>
  <si>
    <t>Directly matches EU-007's established secondary-side output</t>
  </si>
  <si>
    <t>AI-001 — Weather Station</t>
  </si>
  <si>
    <t>Ambient temperature, wind speed/direction, solar irradiance, rainfall, barometric pressure, relative humidity</t>
  </si>
  <si>
    <t>(-40 to +60)</t>
  </si>
  <si>
    <t>0-60</t>
  </si>
  <si>
    <t>0-300</t>
  </si>
  <si>
    <t>IP66</t>
  </si>
  <si>
    <t>Solar irradiance and wind data specifically support anticipating renewable generation availability for HB-011</t>
  </si>
  <si>
    <t>Standard wide range for outdoor weather monitoring equipment</t>
  </si>
  <si>
    <t>Covers calm conditions through extreme storm events</t>
  </si>
  <si>
    <t>Covers light rain through extreme downpour conditions</t>
  </si>
  <si>
    <t>Consistent with the plant-wide communication standard used throughout</t>
  </si>
  <si>
    <t>Standard 1-minute update resolution for weather monitoring</t>
  </si>
  <si>
    <t>WMO standard convention for wind speed measurement height</t>
  </si>
  <si>
    <t>Dust-tight and protected against powerful water jets — standard for outdoor weather equipment</t>
  </si>
  <si>
    <t>AI-002 — Camera / Vision System</t>
  </si>
  <si>
    <t>Industrial machine-vision camera (RGB + optional NIR for material classification)</t>
  </si>
  <si>
    <t>Feedstock contamination/oversized-item detection at FE-001 receiving hopper, flagging non-conforming material before it reaches FE-003 shredder</t>
  </si>
  <si>
    <t>GigE Vision / Ethernet to AI Model Server (AI-008)</t>
  </si>
  <si>
    <t>IP67 (dust/washdown protection); ATEX not required at this location</t>
  </si>
  <si>
    <t>Stainless steel or powder-coated aluminum enclosure</t>
  </si>
  <si>
    <t>Robust choice for a dusty industrial feedstock-handling environment</t>
  </si>
  <si>
    <t>Adequate for contamination/oversized-item detection at this scale</t>
  </si>
  <si>
    <t>More than sufficient for a slow-moving conveyor application</t>
  </si>
  <si>
    <t>Wide enough to cover the inspection area at FE-001's hopper/conveyor</t>
  </si>
  <si>
    <t>Complements FE-008's magnetic tramp-metal removal with an earlier, broader visual check</t>
  </si>
  <si>
    <t>Realistic target for this kind of visual classification task</t>
  </si>
  <si>
    <t>Direct architectural connection — this camera's output feeds the plant's established MPC/RL model server</t>
  </si>
  <si>
    <t>Early in the process, away from the flammable-gas zones that required ATEX classification at HB-013</t>
  </si>
  <si>
    <t>Standard for this industrial application</t>
  </si>
  <si>
    <t>AI-003 — Bed Pressure-Drop Sensor</t>
  </si>
  <si>
    <t>Differential pressure transmitter, using GA-002's dual pressure taps directly</t>
  </si>
  <si>
    <t>GA-002's dual pressure taps (bed level + freeboard), differential calculated between them</t>
  </si>
  <si>
    <t>Low: &lt;10 mbar (defluidization risk); High: &gt;90 mbar (agglomeration/blockage risk)</t>
  </si>
  <si>
    <t>This is exactly why GA-002 was specified with two taps rather than one — this sensor is the reason</t>
  </si>
  <si>
    <t>Reasonable range for a fluidized bed ΔP at this small scale</t>
  </si>
  <si>
    <t>Tight accuracy, matching the same reasoning used at GC-002 — a high-value diagnostic reading, not a routine one</t>
  </si>
  <si>
    <t>Fast enough to actually catch a rapid bed upset as it develops</t>
  </si>
  <si>
    <t>Consistent with the plant-wide standard</t>
  </si>
  <si>
    <t>Direct physical connection to the infrastructure already built for this purpose</t>
  </si>
  <si>
    <t>The transmitter itself sits well below bed temperature — impulse lines carry the signal from the 950°C bed to a remotely-mounted instrument</t>
  </si>
  <si>
    <t>Dual-limit alarm reflecting the genuine diagnostic value — both directions of failure matter</t>
  </si>
  <si>
    <t>AI-004 — PLC (Main Control)</t>
  </si>
  <si>
    <t>Siemens SIMATIC S7-1500 (or equivalent process-grade PLC)</t>
  </si>
  <si>
    <t>CPU 1516-3 PN/DP (or equivalent)</t>
  </si>
  <si>
    <t>Profinet/Ethernet, Modbus TCP/RTU, OPC-UA (to AI-003 gateway)</t>
  </si>
  <si>
    <t>SIL 2</t>
  </si>
  <si>
    <t>Not required (PLC housed in non-hazardous control room; field I/O rated per individual zone, e.g. HB-013 Zone 2)</t>
  </si>
  <si>
    <t>Representative industry-standard family — actual vendor selection still needs a real quote</t>
  </si>
  <si>
    <t>Mid-range CPU appropriate for this plant's I/O count and process complexity</t>
  </si>
  <si>
    <t>Sized generously for discrete signals across ~91 equipment items</t>
  </si>
  <si>
    <t>Valve/motor control outputs across the plant</t>
  </si>
  <si>
    <t>Covers the extensive 4-20mA instrumentation already established across every section</t>
  </si>
  <si>
    <t>Control valve positioning, VSD speed references, etc.</t>
  </si>
  <si>
    <t>Fast enough for the gasifier/WGS reaction control loops without being unrealistically aggressive</t>
  </si>
  <si>
    <t>Matches the plant-wide Modbus standard, plus the broader integration path to the AI/cloud layer</t>
  </si>
  <si>
    <t>Genuinely justified given this layer's stated criticality</t>
  </si>
  <si>
    <t>Consistent with the CPU redundancy decision</t>
  </si>
  <si>
    <t>Reasonable integrity level given this handles safety trips for a process with real H2/flammable gas and high-temperature hazards</t>
  </si>
  <si>
    <t>Standard practice — the PLC stays in a safe area</t>
  </si>
  <si>
    <t>AI-005 — OPC-UA Gateway</t>
  </si>
  <si>
    <t>Industrial DIN-rail mounted OPC-UA gateway/edge PC</t>
  </si>
  <si>
    <t>OPC-UA 1.05</t>
  </si>
  <si>
    <t>SignAndEncrypt</t>
  </si>
  <si>
    <t>Basic256Sha256</t>
  </si>
  <si>
    <t>Ethernet (from AI-001 PLC) to MQTT (AI-004) and cloud/AI layer</t>
  </si>
  <si>
    <t>No</t>
  </si>
  <si>
    <t>Standard hardware form factor for this integration role</t>
  </si>
  <si>
    <t>Current mainstream specification version</t>
  </si>
  <si>
    <t>Generous capacity covering AI-001's ~320 direct I/O points plus calculated/derived values, alarms, and status points</t>
  </si>
  <si>
    <t>2x AI-001's 50ms scan cycle — this integration layer doesn't need to match the direct control loop's speed</t>
  </si>
  <si>
    <t>Strongest OPC-UA security mode — bridges into broader IT/cloud infrastructure</t>
  </si>
  <si>
    <t>Current standard OPC-UA security policy</t>
  </si>
  <si>
    <t>Direct match to what AI-001's own datasheet already specified as its integration path</t>
  </si>
  <si>
    <t>Deliberately different from AI-001 — losing this gateway means lost visibility, not lost control</t>
  </si>
  <si>
    <t>AI-006 — MQTT Broker</t>
  </si>
  <si>
    <t>Eclipse Mosquitto (or equivalent industrial MQTT broker)</t>
  </si>
  <si>
    <t>MQTT 5.0</t>
  </si>
  <si>
    <t>Username/password + client certificates (mutual TLS)</t>
  </si>
  <si>
    <t>QoS 0, 1, 2 (all levels supported)</t>
  </si>
  <si>
    <t>On-premises edge server (bridges to AI-006 Cloud IoT Hub)</t>
  </si>
  <si>
    <t>Well-established, widely-deployed open-source choice for industrial MQTT</t>
  </si>
  <si>
    <t>Reasonable capacity for this plant's publisher/subscriber ecosystem (AI-008, AI-009, historian, etc.)</t>
  </si>
  <si>
    <t>Generous margin below AI-003's theoretical max (1000 tags at 100ms update)</t>
  </si>
  <si>
    <t>Current mainstream version with improved features over 3.1.1</t>
  </si>
  <si>
    <t>Consistent with AI-003's SignAndEncrypt approach</t>
  </si>
  <si>
    <t>Standard robust authentication for an industrial MQTT deployment</t>
  </si>
  <si>
    <t>Ensures subscribers get the latest value immediately on connection/reconnection</t>
  </si>
  <si>
    <t>Full MQTT QoS range</t>
  </si>
  <si>
    <t>Sits between the OT gateway (AI-003) and the cloud layer (AI-006), matching the established sequence</t>
  </si>
  <si>
    <t>AI-007 — DCS / SCADA Server</t>
  </si>
  <si>
    <t>Siemens WinCC (or equivalent SCADA/HMI software)</t>
  </si>
  <si>
    <t>Industrial rack-mount server, redundant PSU, 32GB RAM, RAID storage</t>
  </si>
  <si>
    <t>Integrated historian (e.g. Siemens WinCC Historian, or equivalent)</t>
  </si>
  <si>
    <t>VPN with multi-factor authentication</t>
  </si>
  <si>
    <t>IEC 62443</t>
  </si>
  <si>
    <t>Ecosystem-consistent with AI-001's Siemens S7-1500 PLC choice</t>
  </si>
  <si>
    <t>Standard industrial server spec for this duty</t>
  </si>
  <si>
    <t>Genuinely warranted — operators need continuous process visibility for a plant with real H2/high-temperature hazards</t>
  </si>
  <si>
    <t>Matches AI-003's already-established tag capacity — SCADA mirrors the same tag universe as the OPC-UA gateway</t>
  </si>
  <si>
    <t>Long-term trending/diagnostics, distinct role from real-time SCADA display</t>
  </si>
  <si>
    <t>Finer resolution than EU-009's 15-minute utility billing interval — appropriate for process trending</t>
  </si>
  <si>
    <t>Reasonable industrial standard — also supports AI-015's RFNBO compliance record-keeping if activated</t>
  </si>
  <si>
    <t>Main control room plus a backup/mobile station, appropriate for this small scale</t>
  </si>
  <si>
    <t>Secure remote monitoring/support access, relevant given DOK-ING's external stakeholder visibility needs</t>
  </si>
  <si>
    <t>Leading industrial control systems cybersecurity standard — directly relevant given AI-012's dedicated ICS firewall role</t>
  </si>
  <si>
    <t>AI-008 — Edge Computing Server</t>
  </si>
  <si>
    <t>Ruggedized industrial edge PC (fanless, DIN-rail or panel-mount)</t>
  </si>
  <si>
    <t>Intel Core i7 (or equivalent), 8-core</t>
  </si>
  <si>
    <t>NVIDIA Jetson AGX Orin (or equivalent embedded AI accelerator)</t>
  </si>
  <si>
    <t>2x Gigabit Ethernet, 1x fiber uplink</t>
  </si>
  <si>
    <t>(-20 to +60)</t>
  </si>
  <si>
    <t>Linux (Ubuntu Server LTS or industrial RTOS variant)</t>
  </si>
  <si>
    <t>Not required (housed in non-hazardous area, consistent with AI-001's PLC placement)</t>
  </si>
  <si>
    <t>Deployed close to the process, survives the plant environment without active cooling</t>
  </si>
  <si>
    <t>Sufficient for local inference and low-latency control tasks</t>
  </si>
  <si>
    <t>Needed if genuine vision or ML inference runs locally rather than round-tripping to AI-008</t>
  </si>
  <si>
    <t>Adequate for local model inference workloads</t>
  </si>
  <si>
    <t>NVMe SSD — fast storage for real-time data buffering</t>
  </si>
  <si>
    <t>Connects to the plant network (AI-001/AI-003) with a dedicated uplink path</t>
  </si>
  <si>
    <t>Industrial-rated range, consistent with the fanless deployment</t>
  </si>
  <si>
    <t>Typical for quality industrial computing hardware</t>
  </si>
  <si>
    <t>Standard choice for AI/ML inference workloads</t>
  </si>
  <si>
    <t>Same reasoning as AI-001 — kept out of the actual hazardous process zones</t>
  </si>
  <si>
    <t>AI-009 — Cybersecurity Firewall (ICS)</t>
  </si>
  <si>
    <t>IEC 62443-3-3 (SL2 target security level)</t>
  </si>
  <si>
    <t>4 zones (Level 0-1 process/control, Level 2 supervisory, Level 3 site operations, Level 4 cloud/enterprise)</t>
  </si>
  <si>
    <t>Modbus TCP, OPC-UA, MQTT, Profinet (deep protocol inspection)</t>
  </si>
  <si>
    <t>Scheduled quarterly updates with pre-deployment staging tests; emergency patches for critical vulnerabilities</t>
  </si>
  <si>
    <t>Matches AI-002's already-established cybersecurity standard reference directly</t>
  </si>
  <si>
    <t>Generous for this plant's actual data volumes (1000 tags, 100ms updates) — not a bottleneck</t>
  </si>
  <si>
    <t>Matches the IEC 62443 zone model, consistent with the plant Level 0-3/Level 4 architecture</t>
  </si>
  <si>
    <t>Essential for genuine OT security — inspecting actual protocol content, not just IP/port filtering</t>
  </si>
  <si>
    <t>Matches the plant's established protocol stack directly (AI-001, AI-003, AI-004)</t>
  </si>
  <si>
    <t>Standard practice for ICS security</t>
  </si>
  <si>
    <t>Consistent with AI-002's established remote access VPN requirement</t>
  </si>
  <si>
    <t>Feeds into AI-002's historian/logging infrastructure</t>
  </si>
  <si>
    <t>Balances security currency against operational stability risk</t>
  </si>
  <si>
    <t>AI-010 — Cloud IoT Hub</t>
  </si>
  <si>
    <t>Microsoft Azure IoT Hub (or equivalent — AWS IoT Core, Google Cloud IoT)</t>
  </si>
  <si>
    <t>~500000</t>
  </si>
  <si>
    <t>IEC 62443 + cloud provider's ISO 27001 certification</t>
  </si>
  <si>
    <t>EU region (GDPR compliance)</t>
  </si>
  <si>
    <t>~200-400</t>
  </si>
  <si>
    <t>Representative industrial IoT cloud platform — vendor selection still needs a real decision</t>
  </si>
  <si>
    <t>Matches AI-004's established client capacity</t>
  </si>
  <si>
    <t>A realistic sustained average, not AI-004's theoretical 1000 msg/s ceiling scaled up naively</t>
  </si>
  <si>
    <t>Standard cloud hot-tier window for active querying</t>
  </si>
  <si>
    <t>Matches AI-002's already-established historian retention directly</t>
  </si>
  <si>
    <t>Consistent with AI-012's ICS standard and AI-003's OPC-UA security approach</t>
  </si>
  <si>
    <t>Required given this is a Croatian/EU-based project</t>
  </si>
  <si>
    <t>Feeds AI-009's Digital Twin Engine directly — this integration is the whole point of the cloud layer</t>
  </si>
  <si>
    <t>Reasonable estimate for this plant's modest data volumes (50 devices, ~500k msg/day)</t>
  </si>
  <si>
    <t>AI-011 — Time-Series Database</t>
  </si>
  <si>
    <t>InfluxDB (or equivalent — TimescaleDB, Azure Time Series Insights)</t>
  </si>
  <si>
    <t>Cloud-hosted (co-located with AI-006 Cloud IoT Hub)</t>
  </si>
  <si>
    <t>90 days hot tier (full resolution), 5 years cold/archive tier (downsampled)</t>
  </si>
  <si>
    <t>~10:1</t>
  </si>
  <si>
    <t>Automated daily snapshots, geo-redundant storage</t>
  </si>
  <si>
    <t>InfluxQL / Flux (native), REST API for AI-008/AI-009 integration</t>
  </si>
  <si>
    <t>Standard purpose-built time-series database technology</t>
  </si>
  <si>
    <t>Sits alongside the ingestion point established at AI-006</t>
  </si>
  <si>
    <t>Generous margin above the ~5.8 points/s average implied by AI-006's ~500,000 msg/day ingestion rate</t>
  </si>
  <si>
    <t>Reasonable target for a well-indexed time-series DB at this modest data volume</t>
  </si>
  <si>
    <t>Matches AI-002/AI-006's already-established retention policy directly</t>
  </si>
  <si>
    <t>Conservative, realistic estimate for time-series data compression</t>
  </si>
  <si>
    <t>Warranted — underpins both AI-002's historian and AI-009's Digital Twin Engine</t>
  </si>
  <si>
    <t>Standard practice for data this operationally important</t>
  </si>
  <si>
    <t>Direct integration path to the plant's model server and digital twin</t>
  </si>
  <si>
    <t>AI-012 — AI Model Server (MPC/RL)</t>
  </si>
  <si>
    <t>Python-based: do-mpc/CasADi (MPC), Stable-Baselines3/Ray RLlib (RL)</t>
  </si>
  <si>
    <t>Hybrid MPC (fast, safety-critical process loops) + RL (long-horizon dispatch optimization, e.g. CHP technology selection among the four options)</t>
  </si>
  <si>
    <t>Minimum 6 months of operational data or high-fidelity process simulation</t>
  </si>
  <si>
    <t>Quarterly, or triggered by significant process drift detection</t>
  </si>
  <si>
    <t>Fallback to conventional PID control on AI-001 PLC — AI provides setpoint optimization only; PLC retains base-layer safety control independent of AI availability</t>
  </si>
  <si>
    <t>GPU-accelerated server (NVIDIA A-series or equivalent), 64GB RAM</t>
  </si>
  <si>
    <t>Real, widely-used open-source frameworks for these two distinct control paradigms</t>
  </si>
  <si>
    <t>Directly matches the plant's genuine optimization opportunities already established</t>
  </si>
  <si>
    <t>Slower than AI-001's 50ms PLC scan by design — this layer computes optimized setpoints periodically</t>
  </si>
  <si>
    <t>~10s MPC cycle for process optimization; CHP dispatch (RL) decisions run much slower</t>
  </si>
  <si>
    <t>Reasonable count spanning the established control loops</t>
  </si>
  <si>
    <t>Corresponding actuators/setpoints (air/steam flow, feed rate, valve positions, CHP dispatch)</t>
  </si>
  <si>
    <t>The plant's own existing MATLAB/Simulink model is exactly this kind of resource for initial RL policy training</t>
  </si>
  <si>
    <t>Standard practice for keeping models current with actual plant behavior</t>
  </si>
  <si>
    <t>Critical safety architecture point — the plant must not lose basic control if this AI layer fails</t>
  </si>
  <si>
    <t>Heavier workload than AI-005's edge inference — genuine training/inference compute needs</t>
  </si>
  <si>
    <t>AI-013 — Digital Twin Engine</t>
  </si>
  <si>
    <t>Siemens Xcelerator/MindSphere (or equivalent — Azure Digital Twins, AVEVA)</t>
  </si>
  <si>
    <t>Unity or Unreal Engine (real-time 3D rendering)</t>
  </si>
  <si>
    <t>Linked to the existing MATLAB/Simulink process model for physics-based state prediction</t>
  </si>
  <si>
    <t>ISO 23247 (digital twin framework for manufacturing)</t>
  </si>
  <si>
    <t>REST API + OPC-UA client (reads from AI-003 gateway, AI-007 time-series DB)</t>
  </si>
  <si>
    <t>4K (3840x2160) rendering target</t>
  </si>
  <si>
    <t>Ecosystem-consistent with AI-001/AI-002's established Siemens choices</t>
  </si>
  <si>
    <t>Standard for real-time industrial visualization</t>
  </si>
  <si>
    <t>Slower than AI-008's 0.1Hz MPC cycle — this is a visualization/monitoring refresh rate, not control-critical</t>
  </si>
  <si>
    <t>Matches the tag capacity already established at AI-003/AI-002</t>
  </si>
  <si>
    <t>Uses the plant's own already-built simulation files, not a separate independent model</t>
  </si>
  <si>
    <t>Real, relevant interoperability standard for this application</t>
  </si>
  <si>
    <t>Direct integration with the already-established data infrastructure</t>
  </si>
  <si>
    <t>Standard for detailed industrial 3D visualization</t>
  </si>
  <si>
    <t>Supports remote inspection, operator training, and maintenance planning</t>
  </si>
  <si>
    <t>OPC-UA (inter-module), MQTT (to AI-006 Cloud IoT Hub for fleet-wide visibility)</t>
  </si>
  <si>
    <t>Dynamic, based on feedstock availability, module health status, and shared utility capacity</t>
  </si>
  <si>
    <t>Coordinates shared steam (HB-004), cooling (EU-011), and grid interconnection (EU-009) capacity across active modules</t>
  </si>
  <si>
    <t>Automatic failover — redistributes feedstock/load to healthy modules if one drops out</t>
  </si>
  <si>
    <t>Aggregates status from each module's own AI-001 PLC and AI-009 digital twin instance via AI-006 Cloud IoT Hub</t>
  </si>
  <si>
    <t>Distributed local control (each module's own AI-001 PLC) with centralized orchestration for fleet-wide optimization</t>
  </si>
  <si>
    <t>Directly matches DOK-ING's stated scaling target — 1 tpd modules up to 25 tpd total capacity</t>
  </si>
  <si>
    <t>Consistent with the plant's established communication stack</t>
  </si>
  <si>
    <t>Genuine optimization problem across a fleet of modules</t>
  </si>
  <si>
    <t>Real bottleneck-avoidance need — these are the shared utilities already established in this build</t>
  </si>
  <si>
    <t>The actual point of a multi-module design: individual module failure does not halt overall production</t>
  </si>
  <si>
    <t>Ties directly into the plant's already-established monitoring infrastructure</t>
  </si>
  <si>
    <t>Reasonable operational response window — consistent with EU-009's 15-min utility interval</t>
  </si>
  <si>
    <t>Reflects the genuine two-tier architecture already established throughout this build</t>
  </si>
  <si>
    <t>Applies only if HB-011 (Electrolyser) is activated — tracks the green-hydrogen pathway specifically, not the primary WGS+PSA route</t>
  </si>
  <si>
    <t>Guarantee-of-Origin (GO) certificate verification, cross-referenced with AI-010's weather data for on-site renewable generation correlation</t>
  </si>
  <si>
    <t>Hourly matching per EU RFNBO Delegated Regulation 2023/1184</t>
  </si>
  <si>
    <t>Book-and-claim or physical segregation tracking of HB-011-produced H2 through shared storage (HB-013), maintaining chain-of-custody records</t>
  </si>
  <si>
    <t>EU RFNBO Delegated Regulation (EU) 2023/1184</t>
  </si>
  <si>
    <t>Automated reporting via AI-002 historian, exportable for regulatory/certification submission</t>
  </si>
  <si>
    <t>Matches HB-011's own Auxiliary/Optional status directly</t>
  </si>
  <si>
    <t>Direct use of AI-010's already-established purpose</t>
  </si>
  <si>
    <t>The actual real regulatory requirement, not a generic placeholder</t>
  </si>
  <si>
    <t>EU RFNBO rules require new renewable capacity, not just reallocated existing renewable electricity</t>
  </si>
  <si>
    <t>Addresses the real complexity of HB-011's green H2 sharing storage with the main route</t>
  </si>
  <si>
    <t>The actual regulation governing Renewable Fuels of Non-Biological Origin in the EU</t>
  </si>
  <si>
    <t>Uses the plant's already-established historian infrastructure</t>
  </si>
  <si>
    <t>(-20 to +50)</t>
  </si>
  <si>
    <t>900x900</t>
  </si>
  <si>
    <t>11 of 13 parameters filled</t>
  </si>
  <si>
    <t>HTS stage only — distinct from the overall 85% combined HTS+LTS target; LTS (HB-004) makes up the remainder — Now backed by a validated reaction-kinetics model (Arrhenius + Van't Hoff, Fe-Cr catalyst, Ea=111 kJ/mol), running live in Simulink and reproducing this value from real temperature/space-velocity physics, not just a design assumption.</t>
  </si>
  <si>
    <t>Matches the overall 85% combined HTS+LTS conversion target already worked out at HB-002 (28% x (1-0.85)) — Now backed by a validated reaction-kinetics model (Arrhenius + Van't Hoff, Cu/ZnO/Al2O3 catalyst, Ea=75 kJ/mol — genuinely different kinetics from HTS, matching this stage's different catalyst), running live in Simulink.</t>
  </si>
  <si>
    <t>FE-004</t>
  </si>
  <si>
    <t>Closes an energy loop within the plant rather than adding dedicated fuel-fired duty; flagged as a candidate integration when HB-003 was originally described</t>
  </si>
  <si>
    <t>Simple final polishing wash — bulk tar already handled by GC-006</t>
  </si>
  <si>
    <t>Minor further cooling from GC-006s 65°C through the additional wet contact stage</t>
  </si>
  <si>
    <t>Slightly less demanding than GC-008s L/G=3</t>
  </si>
  <si>
    <t>Same chemical as GC-008 — simplifies on-site chemical handling to one reagent</t>
  </si>
  <si>
    <t>Longer than GC-006's 3 months — this stage sees much lower loading</t>
  </si>
  <si>
    <t>Smaller polishing bed than GC-006's bulk tar adsorber — proportionally lower ΔP</t>
  </si>
  <si>
    <t>Back-calculated from GC-007's established 0.5 g/Nm³ inlet, assuming GC-006's ~95% bulk removal efficiency</t>
  </si>
  <si>
    <t>Standard industry range (3:1-5:1); should be cross-checked against HB-005's actual steam supply once revisited</t>
  </si>
  <si>
    <t>Substantial preheat — feeds toward HB-005's steam generation, closing another internal heat-integration loop</t>
  </si>
  <si>
    <t>Standard at this temperature range, same as HB-001/HB-003</t>
  </si>
  <si>
    <t>Closes the loop with HB-003 directly — WGS waste heat does the initial preheat before this unit finishes the job</t>
  </si>
  <si>
    <t>Consistent with the plant's other heat recovery approaches (HB-003, EU-004)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</si>
</sst>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238"/>
    </font>
    <font>
      <i/>
      <sz val="9"/>
      <color rgb="FFFFFFFF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9"/>
      <color rgb="FF1A3A5C"/>
      <name val="Arial"/>
      <family val="2"/>
      <charset val="238"/>
    </font>
    <font>
      <b/>
      <u/>
      <sz val="9"/>
      <color rgb="FF1A3A5C"/>
      <name val="Arial"/>
      <family val="2"/>
      <charset val="238"/>
    </font>
    <font>
      <b/>
      <u/>
      <sz val="9"/>
      <color rgb="FF1D9E75"/>
      <name val="Arial"/>
      <family val="2"/>
      <charset val="238"/>
    </font>
    <font>
      <b/>
      <u/>
      <sz val="9"/>
      <color rgb="FFBA7517"/>
      <name val="Arial"/>
      <family val="2"/>
      <charset val="238"/>
    </font>
    <font>
      <b/>
      <u/>
      <sz val="9"/>
      <color rgb="FF534AB7"/>
      <name val="Arial"/>
      <family val="2"/>
      <charset val="238"/>
    </font>
    <font>
      <b/>
      <u/>
      <sz val="9"/>
      <color rgb="FFA32D2D"/>
      <name val="Arial"/>
      <family val="2"/>
      <charset val="238"/>
    </font>
    <font>
      <b/>
      <u/>
      <sz val="9"/>
      <color rgb="FF185FA5"/>
      <name val="Arial"/>
      <family val="2"/>
      <charset val="238"/>
    </font>
    <font>
      <i/>
      <sz val="8"/>
      <color rgb="FF888888"/>
      <name val="Arial"/>
      <family val="2"/>
      <charset val="238"/>
    </font>
    <font>
      <b/>
      <sz val="12"/>
      <color rgb="FFFFFFFF"/>
      <name val="Arial"/>
      <family val="2"/>
      <charset val="238"/>
    </font>
    <font>
      <b/>
      <sz val="9"/>
      <color rgb="FF1A3A5C"/>
      <name val="Arial"/>
      <family val="2"/>
      <charset val="238"/>
    </font>
    <font>
      <sz val="9"/>
      <color rgb="FF1A237E"/>
      <name val="Arial"/>
      <family val="2"/>
      <charset val="238"/>
    </font>
    <font>
      <sz val="9"/>
      <color rgb="FF555555"/>
      <name val="Arial"/>
      <family val="2"/>
      <charset val="238"/>
    </font>
    <font>
      <i/>
      <sz val="8"/>
      <color rgb="FF666666"/>
      <name val="Arial"/>
      <family val="2"/>
      <charset val="238"/>
    </font>
    <font>
      <b/>
      <sz val="9"/>
      <color rgb="FF1D9E75"/>
      <name val="Arial"/>
      <family val="2"/>
      <charset val="238"/>
    </font>
    <font>
      <b/>
      <sz val="9"/>
      <color rgb="FFBA7517"/>
      <name val="Arial"/>
      <family val="2"/>
      <charset val="238"/>
    </font>
    <font>
      <b/>
      <sz val="9"/>
      <color rgb="FF534AB7"/>
      <name val="Arial"/>
      <family val="2"/>
      <charset val="238"/>
    </font>
    <font>
      <b/>
      <sz val="9"/>
      <color rgb="FFA32D2D"/>
      <name val="Arial"/>
      <family val="2"/>
      <charset val="238"/>
    </font>
    <font>
      <b/>
      <sz val="9"/>
      <color rgb="FF185FA5"/>
      <name val="Arial"/>
      <family val="2"/>
      <charset val="238"/>
    </font>
    <font>
      <sz val="11"/>
      <color theme="1"/>
      <name val="Times New Roman"/>
      <family val="1"/>
      <charset val="238"/>
    </font>
    <font>
      <sz val="9"/>
      <color rgb="FF555555"/>
      <name val="Times New Roman"/>
      <family val="1"/>
      <charset val="238"/>
    </font>
    <font>
      <sz val="8"/>
      <color rgb="FF888888"/>
      <name val="Times New Roman"/>
      <family val="1"/>
      <charset val="238"/>
    </font>
    <font>
      <sz val="9"/>
      <color theme="1"/>
      <name val="Times New Roman"/>
      <family val="1"/>
      <charset val="238"/>
    </font>
    <font>
      <b/>
      <i/>
      <sz val="8"/>
      <color rgb="FF888888"/>
      <name val="Arial"/>
      <family val="2"/>
      <charset val="238"/>
    </font>
    <font>
      <i/>
      <sz val="9"/>
      <color rgb="FF5B7387"/>
      <name val="Calibri"/>
      <family val="2"/>
      <charset val="238"/>
    </font>
    <font>
      <sz val="9"/>
      <color theme="1"/>
      <name val="Arial"/>
      <family val="2"/>
      <charset val="238"/>
    </font>
    <font>
      <sz val="9"/>
      <color theme="3"/>
      <name val="Arial"/>
      <family val="2"/>
      <charset val="238"/>
    </font>
    <font>
      <sz val="12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i/>
      <sz val="8"/>
      <color rgb="FF00B050"/>
      <name val="Arial"/>
      <family val="2"/>
      <charset val="238"/>
    </font>
  </fonts>
  <fills count="19">
    <fill>
      <patternFill patternType="none"/>
    </fill>
    <fill>
      <patternFill patternType="gray125"/>
    </fill>
    <fill>
      <patternFill patternType="solid">
        <fgColor rgb="FF1A3A5C"/>
        <bgColor rgb="FF1A237E"/>
      </patternFill>
    </fill>
    <fill>
      <patternFill patternType="solid">
        <fgColor rgb="FF2E6DA4"/>
        <bgColor rgb="FF185FA5"/>
      </patternFill>
    </fill>
    <fill>
      <patternFill patternType="solid">
        <fgColor rgb="FF4A4A4A"/>
        <bgColor rgb="FF555555"/>
      </patternFill>
    </fill>
    <fill>
      <patternFill patternType="solid">
        <fgColor rgb="FFD6E4F0"/>
        <bgColor rgb="FFE6F1FB"/>
      </patternFill>
    </fill>
    <fill>
      <patternFill patternType="solid">
        <fgColor rgb="FF1D9E75"/>
        <bgColor rgb="FF008080"/>
      </patternFill>
    </fill>
    <fill>
      <patternFill patternType="solid">
        <fgColor rgb="FFE1F5EE"/>
        <bgColor rgb="FFE6F1FB"/>
      </patternFill>
    </fill>
    <fill>
      <patternFill patternType="solid">
        <fgColor rgb="FFBA7517"/>
        <bgColor rgb="FFFF6600"/>
      </patternFill>
    </fill>
    <fill>
      <patternFill patternType="solid">
        <fgColor rgb="FFFAEEDA"/>
        <bgColor rgb="FFFCEBEB"/>
      </patternFill>
    </fill>
    <fill>
      <patternFill patternType="solid">
        <fgColor rgb="FF534AB7"/>
        <bgColor rgb="FF555555"/>
      </patternFill>
    </fill>
    <fill>
      <patternFill patternType="solid">
        <fgColor rgb="FFEEEDFE"/>
        <bgColor rgb="FFE6F1FB"/>
      </patternFill>
    </fill>
    <fill>
      <patternFill patternType="solid">
        <fgColor rgb="FFA32D2D"/>
        <bgColor rgb="FF993366"/>
      </patternFill>
    </fill>
    <fill>
      <patternFill patternType="solid">
        <fgColor rgb="FFFCEBEB"/>
        <bgColor rgb="FFFAEEDA"/>
      </patternFill>
    </fill>
    <fill>
      <patternFill patternType="solid">
        <fgColor rgb="FF185FA5"/>
        <bgColor rgb="FF2E6DA4"/>
      </patternFill>
    </fill>
    <fill>
      <patternFill patternType="solid">
        <fgColor rgb="FFE6F1FB"/>
        <bgColor rgb="FFEEEDFE"/>
      </patternFill>
    </fill>
    <fill>
      <patternFill patternType="solid">
        <fgColor rgb="FFFFFDE7"/>
        <bgColor rgb="FFFFFFFF"/>
      </patternFill>
    </fill>
    <fill>
      <patternFill patternType="solid">
        <fgColor rgb="FFF7F7F7"/>
        <bgColor rgb="FFFFFFFF"/>
      </patternFill>
    </fill>
    <fill>
      <patternFill patternType="solid">
        <fgColor rgb="FFFFFFFF"/>
        <bgColor rgb="FFF7F7F7"/>
      </patternFill>
    </fill>
  </fills>
  <borders count="10">
    <border>
      <left/>
      <right/>
      <top/>
      <bottom/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D9E75"/>
      </left>
      <right style="thin">
        <color rgb="FF1D9E75"/>
      </right>
      <top style="thin">
        <color rgb="FF1D9E75"/>
      </top>
      <bottom style="thin">
        <color rgb="FF1D9E75"/>
      </bottom>
      <diagonal/>
    </border>
    <border>
      <left style="medium">
        <color rgb="FF1A3A5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D9E75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A751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534AB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A32D2D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85FA5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1" fillId="0" borderId="0" applyNumberFormat="0" applyFill="0" applyBorder="0" applyAlignment="0" applyProtection="0"/>
  </cellStyleXfs>
  <cellXfs count="81">
    <xf numFmtId="0" fontId="0" fillId="0" borderId="0" xfId="0" applyAlignment="1"/>
    <xf numFmtId="0" fontId="0" fillId="0" borderId="0" xfId="0" applyAlignment="1"/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0" xfId="0" applyFont="1" applyFill="1" applyAlignment="1"/>
    <xf numFmtId="0" fontId="0" fillId="4" borderId="0" xfId="0" applyFill="1" applyAlignment="1"/>
    <xf numFmtId="0" fontId="13" fillId="5" borderId="2" xfId="0" applyFont="1" applyFill="1" applyBorder="1" applyAlignment="1">
      <alignment horizontal="left" vertical="center"/>
    </xf>
    <xf numFmtId="0" fontId="14" fillId="16" borderId="4" xfId="0" applyFont="1" applyFill="1" applyBorder="1" applyAlignment="1">
      <alignment horizontal="left" vertical="center"/>
    </xf>
    <xf numFmtId="0" fontId="15" fillId="17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left" vertical="center"/>
    </xf>
    <xf numFmtId="0" fontId="15" fillId="18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7" fillId="7" borderId="2" xfId="0" applyFont="1" applyFill="1" applyBorder="1" applyAlignment="1">
      <alignment horizontal="left" vertical="center"/>
    </xf>
    <xf numFmtId="0" fontId="14" fillId="16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8" fillId="9" borderId="2" xfId="0" applyFont="1" applyFill="1" applyBorder="1" applyAlignment="1">
      <alignment horizontal="left" vertical="center"/>
    </xf>
    <xf numFmtId="0" fontId="14" fillId="16" borderId="6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9" fillId="11" borderId="2" xfId="0" applyFont="1" applyFill="1" applyBorder="1" applyAlignment="1">
      <alignment horizontal="left" vertical="center"/>
    </xf>
    <xf numFmtId="0" fontId="14" fillId="16" borderId="7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0" fillId="13" borderId="2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1" fillId="15" borderId="2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0" fillId="0" borderId="0" xfId="0" applyAlignment="1"/>
    <xf numFmtId="0" fontId="15" fillId="18" borderId="2" xfId="0" applyFont="1" applyFill="1" applyBorder="1" applyAlignment="1">
      <alignment horizontal="center" vertical="center"/>
    </xf>
    <xf numFmtId="0" fontId="22" fillId="0" borderId="0" xfId="0" applyFont="1" applyAlignment="1"/>
    <xf numFmtId="0" fontId="23" fillId="18" borderId="2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vertical="center"/>
    </xf>
    <xf numFmtId="0" fontId="25" fillId="16" borderId="4" xfId="0" applyFont="1" applyFill="1" applyBorder="1" applyAlignment="1">
      <alignment horizontal="left" vertical="center"/>
    </xf>
    <xf numFmtId="0" fontId="0" fillId="0" borderId="0" xfId="0" applyAlignment="1"/>
    <xf numFmtId="16" fontId="14" fillId="16" borderId="4" xfId="0" applyNumberFormat="1" applyFont="1" applyFill="1" applyBorder="1" applyAlignment="1">
      <alignment horizontal="left" vertical="center"/>
    </xf>
    <xf numFmtId="0" fontId="0" fillId="0" borderId="0" xfId="0" applyAlignment="1"/>
    <xf numFmtId="0" fontId="15" fillId="18" borderId="2" xfId="0" applyFont="1" applyFill="1" applyBorder="1" applyAlignment="1">
      <alignment horizontal="center" vertical="center"/>
    </xf>
    <xf numFmtId="16" fontId="14" fillId="16" borderId="5" xfId="0" applyNumberFormat="1" applyFont="1" applyFill="1" applyBorder="1" applyAlignment="1">
      <alignment horizontal="left" vertical="center"/>
    </xf>
    <xf numFmtId="20" fontId="14" fillId="16" borderId="7" xfId="0" applyNumberFormat="1" applyFont="1" applyFill="1" applyBorder="1" applyAlignment="1">
      <alignment horizontal="left" vertical="center"/>
    </xf>
    <xf numFmtId="16" fontId="14" fillId="16" borderId="7" xfId="0" applyNumberFormat="1" applyFont="1" applyFill="1" applyBorder="1" applyAlignment="1">
      <alignment horizontal="left" vertical="center"/>
    </xf>
    <xf numFmtId="0" fontId="0" fillId="0" borderId="0" xfId="0" applyAlignment="1"/>
    <xf numFmtId="0" fontId="22" fillId="0" borderId="0" xfId="0" applyFont="1" applyAlignment="1"/>
    <xf numFmtId="0" fontId="15" fillId="18" borderId="2" xfId="0" applyFont="1" applyFill="1" applyBorder="1" applyAlignment="1">
      <alignment horizontal="center" vertical="center"/>
    </xf>
    <xf numFmtId="0" fontId="21" fillId="15" borderId="0" xfId="0" applyFont="1" applyFill="1" applyAlignment="1">
      <alignment horizontal="left"/>
    </xf>
    <xf numFmtId="0" fontId="26" fillId="17" borderId="2" xfId="0" applyFont="1" applyFill="1" applyBorder="1" applyAlignment="1">
      <alignment horizontal="left" vertical="center"/>
    </xf>
    <xf numFmtId="0" fontId="0" fillId="0" borderId="0" xfId="0" applyAlignment="1"/>
    <xf numFmtId="0" fontId="15" fillId="18" borderId="2" xfId="0" applyFont="1" applyFill="1" applyBorder="1" applyAlignment="1">
      <alignment horizontal="center" vertical="center"/>
    </xf>
    <xf numFmtId="0" fontId="0" fillId="0" borderId="0" xfId="0"/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0" fontId="13" fillId="5" borderId="2" xfId="0" applyFont="1" applyFill="1" applyBorder="1" applyAlignment="1">
      <alignment vertical="center"/>
    </xf>
    <xf numFmtId="0" fontId="28" fillId="16" borderId="4" xfId="0" applyFont="1" applyFill="1" applyBorder="1" applyAlignment="1">
      <alignment horizontal="left" vertical="center"/>
    </xf>
    <xf numFmtId="0" fontId="29" fillId="16" borderId="4" xfId="0" applyNumberFormat="1" applyFont="1" applyFill="1" applyBorder="1" applyAlignment="1">
      <alignment horizontal="left" vertical="center"/>
    </xf>
    <xf numFmtId="0" fontId="29" fillId="16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27" fillId="0" borderId="0" xfId="0" applyFont="1"/>
    <xf numFmtId="0" fontId="32" fillId="17" borderId="2" xfId="0" applyFont="1" applyFill="1" applyBorder="1" applyAlignment="1">
      <alignment horizontal="left" vertical="center"/>
    </xf>
    <xf numFmtId="0" fontId="31" fillId="5" borderId="2" xfId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88888"/>
      <rgbColor rgb="FF9999FF"/>
      <rgbColor rgb="FF534AB7"/>
      <rgbColor rgb="FFFFFDE7"/>
      <rgbColor rgb="FFE1F5EE"/>
      <rgbColor rgb="FF660066"/>
      <rgbColor rgb="FFFF8080"/>
      <rgbColor rgb="FF185FA5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D6E4F0"/>
      <rgbColor rgb="FFFAEEDA"/>
      <rgbColor rgb="FFEEEDFE"/>
      <rgbColor rgb="FFF7F7F7"/>
      <rgbColor rgb="FFCC99FF"/>
      <rgbColor rgb="FFFCEBEB"/>
      <rgbColor rgb="FF2E6DA4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1D9E75"/>
      <rgbColor rgb="FF003300"/>
      <rgbColor rgb="FF555555"/>
      <rgbColor rgb="FFA32D2D"/>
      <rgbColor rgb="FF993366"/>
      <rgbColor rgb="FF1A237E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40105</xdr:colOff>
      <xdr:row>19</xdr:row>
      <xdr:rowOff>125329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1F8AB1-C197-4CF3-B26D-C1F279CDE03B}"/>
            </a:ext>
          </a:extLst>
        </xdr:cNvPr>
        <xdr:cNvSpPr txBox="1"/>
      </xdr:nvSpPr>
      <xdr:spPr>
        <a:xfrm>
          <a:off x="9023684" y="445669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showGridLines="0" tabSelected="1" zoomScale="190" zoomScaleNormal="190" workbookViewId="0">
      <selection sqref="A1:E1"/>
    </sheetView>
  </sheetViews>
  <sheetFormatPr defaultColWidth="8.7109375" defaultRowHeight="15" x14ac:dyDescent="0.25"/>
  <cols>
    <col min="1" max="1" width="5" style="1" customWidth="1"/>
    <col min="2" max="2" width="12" style="1" customWidth="1"/>
    <col min="3" max="3" width="62.140625" style="1" bestFit="1" customWidth="1"/>
    <col min="4" max="4" width="26" style="1" customWidth="1"/>
    <col min="5" max="5" width="12" style="1" customWidth="1"/>
  </cols>
  <sheetData>
    <row r="1" spans="1:5" ht="27.75" customHeight="1" x14ac:dyDescent="0.25">
      <c r="A1" s="66" t="s">
        <v>0</v>
      </c>
      <c r="B1" s="65"/>
      <c r="C1" s="65"/>
      <c r="D1" s="65"/>
      <c r="E1" s="65"/>
    </row>
    <row r="2" spans="1:5" ht="13.5" customHeight="1" x14ac:dyDescent="0.25">
      <c r="A2" s="64" t="s">
        <v>1</v>
      </c>
      <c r="B2" s="65"/>
      <c r="C2" s="65"/>
      <c r="D2" s="65"/>
      <c r="E2" s="65"/>
    </row>
    <row r="3" spans="1:5" ht="6" customHeight="1" x14ac:dyDescent="0.25"/>
    <row r="4" spans="1:5" ht="21.75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18" customHeight="1" x14ac:dyDescent="0.25">
      <c r="A5" s="3">
        <v>1</v>
      </c>
      <c r="B5" s="4" t="s">
        <v>7</v>
      </c>
      <c r="C5" s="63" t="s">
        <v>8</v>
      </c>
      <c r="D5" s="5" t="s">
        <v>9</v>
      </c>
      <c r="E5" s="4">
        <v>13</v>
      </c>
    </row>
    <row r="6" spans="1:5" ht="18" customHeight="1" x14ac:dyDescent="0.25">
      <c r="A6" s="6">
        <v>2</v>
      </c>
      <c r="B6" s="4" t="s">
        <v>12</v>
      </c>
      <c r="C6" s="63" t="s">
        <v>11</v>
      </c>
      <c r="D6" s="5" t="s">
        <v>9</v>
      </c>
      <c r="E6" s="4">
        <v>10</v>
      </c>
    </row>
    <row r="7" spans="1:5" ht="18" customHeight="1" x14ac:dyDescent="0.25">
      <c r="A7" s="3">
        <v>3</v>
      </c>
      <c r="B7" s="4" t="s">
        <v>14</v>
      </c>
      <c r="C7" s="63" t="s">
        <v>13</v>
      </c>
      <c r="D7" s="5" t="s">
        <v>9</v>
      </c>
      <c r="E7" s="4">
        <v>11</v>
      </c>
    </row>
    <row r="8" spans="1:5" ht="18" customHeight="1" x14ac:dyDescent="0.25">
      <c r="A8" s="6">
        <v>4</v>
      </c>
      <c r="B8" s="4" t="s">
        <v>2100</v>
      </c>
      <c r="C8" s="63" t="s">
        <v>15</v>
      </c>
      <c r="D8" s="5" t="s">
        <v>9</v>
      </c>
      <c r="E8" s="4">
        <v>11</v>
      </c>
    </row>
    <row r="9" spans="1:5" ht="18" customHeight="1" x14ac:dyDescent="0.25">
      <c r="A9" s="3">
        <v>5</v>
      </c>
      <c r="B9" s="4" t="s">
        <v>19</v>
      </c>
      <c r="C9" s="63" t="s">
        <v>17</v>
      </c>
      <c r="D9" s="5" t="s">
        <v>9</v>
      </c>
      <c r="E9" s="4">
        <v>10</v>
      </c>
    </row>
    <row r="10" spans="1:5" ht="18" customHeight="1" x14ac:dyDescent="0.25">
      <c r="A10" s="6">
        <v>6</v>
      </c>
      <c r="B10" s="4" t="s">
        <v>21</v>
      </c>
      <c r="C10" s="63" t="s">
        <v>18</v>
      </c>
      <c r="D10" s="5" t="s">
        <v>9</v>
      </c>
      <c r="E10" s="4">
        <v>10</v>
      </c>
    </row>
    <row r="11" spans="1:5" ht="18" customHeight="1" x14ac:dyDescent="0.25">
      <c r="A11" s="3">
        <v>7</v>
      </c>
      <c r="B11" s="4" t="s">
        <v>16</v>
      </c>
      <c r="C11" s="63" t="s">
        <v>20</v>
      </c>
      <c r="D11" s="5" t="s">
        <v>9</v>
      </c>
      <c r="E11" s="4">
        <v>10</v>
      </c>
    </row>
    <row r="12" spans="1:5" ht="18" customHeight="1" x14ac:dyDescent="0.25">
      <c r="A12" s="6">
        <v>8</v>
      </c>
      <c r="B12" s="4" t="s">
        <v>10</v>
      </c>
      <c r="C12" s="63" t="s">
        <v>22</v>
      </c>
      <c r="D12" s="5" t="s">
        <v>9</v>
      </c>
      <c r="E12" s="4">
        <v>10</v>
      </c>
    </row>
    <row r="13" spans="1:5" ht="18" customHeight="1" x14ac:dyDescent="0.25">
      <c r="A13" s="3">
        <v>9</v>
      </c>
      <c r="B13" s="4" t="s">
        <v>23</v>
      </c>
      <c r="C13" s="63" t="s">
        <v>24</v>
      </c>
      <c r="D13" s="5" t="s">
        <v>9</v>
      </c>
      <c r="E13" s="4">
        <v>15</v>
      </c>
    </row>
    <row r="14" spans="1:5" ht="18" customHeight="1" x14ac:dyDescent="0.25">
      <c r="A14" s="6">
        <v>10</v>
      </c>
      <c r="B14" s="4" t="s">
        <v>25</v>
      </c>
      <c r="C14" s="63" t="s">
        <v>26</v>
      </c>
      <c r="D14" s="5" t="s">
        <v>9</v>
      </c>
      <c r="E14" s="4">
        <v>9</v>
      </c>
    </row>
    <row r="15" spans="1:5" ht="18" customHeight="1" x14ac:dyDescent="0.25">
      <c r="A15" s="3">
        <v>11</v>
      </c>
      <c r="B15" s="4" t="s">
        <v>27</v>
      </c>
      <c r="C15" s="63" t="s">
        <v>28</v>
      </c>
      <c r="D15" s="5" t="s">
        <v>9</v>
      </c>
      <c r="E15" s="4">
        <v>11</v>
      </c>
    </row>
    <row r="16" spans="1:5" ht="18" customHeight="1" x14ac:dyDescent="0.25">
      <c r="A16" s="6">
        <v>12</v>
      </c>
      <c r="B16" s="4" t="s">
        <v>29</v>
      </c>
      <c r="C16" s="63" t="s">
        <v>30</v>
      </c>
      <c r="D16" s="5" t="s">
        <v>9</v>
      </c>
      <c r="E16" s="4">
        <v>9</v>
      </c>
    </row>
    <row r="17" spans="1:5" ht="18" customHeight="1" x14ac:dyDescent="0.25">
      <c r="A17" s="3">
        <v>13</v>
      </c>
      <c r="B17" s="4" t="s">
        <v>31</v>
      </c>
      <c r="C17" s="63" t="s">
        <v>32</v>
      </c>
      <c r="D17" s="5" t="s">
        <v>9</v>
      </c>
      <c r="E17" s="4">
        <v>10</v>
      </c>
    </row>
    <row r="18" spans="1:5" ht="18" customHeight="1" x14ac:dyDescent="0.25">
      <c r="A18" s="6">
        <v>14</v>
      </c>
      <c r="B18" s="4" t="s">
        <v>33</v>
      </c>
      <c r="C18" s="63" t="s">
        <v>34</v>
      </c>
      <c r="D18" s="5" t="s">
        <v>9</v>
      </c>
      <c r="E18" s="4">
        <v>10</v>
      </c>
    </row>
    <row r="19" spans="1:5" ht="18" customHeight="1" x14ac:dyDescent="0.25">
      <c r="A19" s="3">
        <v>15</v>
      </c>
      <c r="B19" s="4" t="s">
        <v>35</v>
      </c>
      <c r="C19" s="63" t="s">
        <v>36</v>
      </c>
      <c r="D19" s="5" t="s">
        <v>9</v>
      </c>
      <c r="E19" s="4">
        <v>10</v>
      </c>
    </row>
    <row r="20" spans="1:5" ht="18" customHeight="1" x14ac:dyDescent="0.25">
      <c r="A20" s="6">
        <v>16</v>
      </c>
      <c r="B20" s="4" t="s">
        <v>37</v>
      </c>
      <c r="C20" s="63" t="s">
        <v>38</v>
      </c>
      <c r="D20" s="5" t="s">
        <v>9</v>
      </c>
      <c r="E20" s="4">
        <v>10</v>
      </c>
    </row>
    <row r="21" spans="1:5" ht="18" customHeight="1" x14ac:dyDescent="0.25">
      <c r="A21" s="3">
        <v>17</v>
      </c>
      <c r="B21" s="4" t="s">
        <v>39</v>
      </c>
      <c r="C21" s="63" t="s">
        <v>40</v>
      </c>
      <c r="D21" s="5" t="s">
        <v>9</v>
      </c>
      <c r="E21" s="4">
        <v>10</v>
      </c>
    </row>
    <row r="22" spans="1:5" ht="18" customHeight="1" x14ac:dyDescent="0.25">
      <c r="A22" s="6">
        <v>18</v>
      </c>
      <c r="B22" s="4" t="s">
        <v>41</v>
      </c>
      <c r="C22" s="63" t="s">
        <v>42</v>
      </c>
      <c r="D22" s="5" t="s">
        <v>9</v>
      </c>
      <c r="E22" s="4">
        <v>10</v>
      </c>
    </row>
    <row r="23" spans="1:5" ht="18" customHeight="1" x14ac:dyDescent="0.25">
      <c r="A23" s="3">
        <v>19</v>
      </c>
      <c r="B23" s="4" t="s">
        <v>43</v>
      </c>
      <c r="C23" s="63" t="s">
        <v>44</v>
      </c>
      <c r="D23" s="5" t="s">
        <v>45</v>
      </c>
      <c r="E23" s="4">
        <v>8</v>
      </c>
    </row>
    <row r="24" spans="1:5" ht="18" customHeight="1" x14ac:dyDescent="0.25">
      <c r="A24" s="6">
        <v>20</v>
      </c>
      <c r="B24" s="4" t="s">
        <v>46</v>
      </c>
      <c r="C24" s="63" t="s">
        <v>47</v>
      </c>
      <c r="D24" s="5" t="s">
        <v>45</v>
      </c>
      <c r="E24" s="4">
        <v>9</v>
      </c>
    </row>
    <row r="25" spans="1:5" ht="18" customHeight="1" x14ac:dyDescent="0.25">
      <c r="A25" s="3">
        <v>21</v>
      </c>
      <c r="B25" s="4" t="s">
        <v>48</v>
      </c>
      <c r="C25" s="63" t="s">
        <v>49</v>
      </c>
      <c r="D25" s="5" t="s">
        <v>45</v>
      </c>
      <c r="E25" s="4">
        <v>10</v>
      </c>
    </row>
    <row r="26" spans="1:5" ht="18" customHeight="1" x14ac:dyDescent="0.25">
      <c r="A26" s="6">
        <v>22</v>
      </c>
      <c r="B26" s="4" t="s">
        <v>50</v>
      </c>
      <c r="C26" s="63" t="s">
        <v>51</v>
      </c>
      <c r="D26" s="5" t="s">
        <v>45</v>
      </c>
      <c r="E26" s="4">
        <v>10</v>
      </c>
    </row>
    <row r="27" spans="1:5" ht="18" customHeight="1" x14ac:dyDescent="0.25">
      <c r="A27" s="3">
        <v>23</v>
      </c>
      <c r="B27" s="4" t="s">
        <v>52</v>
      </c>
      <c r="C27" s="63" t="s">
        <v>53</v>
      </c>
      <c r="D27" s="5" t="s">
        <v>45</v>
      </c>
      <c r="E27" s="4">
        <v>9</v>
      </c>
    </row>
    <row r="28" spans="1:5" ht="18" customHeight="1" x14ac:dyDescent="0.25">
      <c r="A28" s="6">
        <v>24</v>
      </c>
      <c r="B28" s="4" t="s">
        <v>58</v>
      </c>
      <c r="C28" s="63" t="s">
        <v>55</v>
      </c>
      <c r="D28" s="5" t="s">
        <v>45</v>
      </c>
      <c r="E28" s="4">
        <v>10</v>
      </c>
    </row>
    <row r="29" spans="1:5" ht="18" customHeight="1" x14ac:dyDescent="0.25">
      <c r="A29" s="3">
        <v>25</v>
      </c>
      <c r="B29" s="4" t="s">
        <v>56</v>
      </c>
      <c r="C29" s="63" t="s">
        <v>57</v>
      </c>
      <c r="D29" s="5" t="s">
        <v>45</v>
      </c>
      <c r="E29" s="4">
        <v>9</v>
      </c>
    </row>
    <row r="30" spans="1:5" ht="18" customHeight="1" x14ac:dyDescent="0.25">
      <c r="A30" s="6">
        <v>26</v>
      </c>
      <c r="B30" s="4" t="s">
        <v>54</v>
      </c>
      <c r="C30" s="63" t="s">
        <v>59</v>
      </c>
      <c r="D30" s="5" t="s">
        <v>45</v>
      </c>
      <c r="E30" s="4">
        <v>12</v>
      </c>
    </row>
    <row r="31" spans="1:5" ht="18" customHeight="1" x14ac:dyDescent="0.25">
      <c r="A31" s="3">
        <v>27</v>
      </c>
      <c r="B31" s="4" t="s">
        <v>66</v>
      </c>
      <c r="C31" s="63" t="s">
        <v>61</v>
      </c>
      <c r="D31" s="5" t="s">
        <v>45</v>
      </c>
      <c r="E31" s="4">
        <v>10</v>
      </c>
    </row>
    <row r="32" spans="1:5" ht="18" customHeight="1" x14ac:dyDescent="0.25">
      <c r="A32" s="6">
        <v>28</v>
      </c>
      <c r="B32" s="4" t="s">
        <v>62</v>
      </c>
      <c r="C32" s="63" t="s">
        <v>63</v>
      </c>
      <c r="D32" s="5" t="s">
        <v>45</v>
      </c>
      <c r="E32" s="4">
        <v>11</v>
      </c>
    </row>
    <row r="33" spans="1:5" ht="18" customHeight="1" x14ac:dyDescent="0.25">
      <c r="A33" s="3">
        <v>29</v>
      </c>
      <c r="B33" s="4" t="s">
        <v>64</v>
      </c>
      <c r="C33" s="63" t="s">
        <v>65</v>
      </c>
      <c r="D33" s="5" t="s">
        <v>45</v>
      </c>
      <c r="E33" s="4">
        <v>8</v>
      </c>
    </row>
    <row r="34" spans="1:5" ht="18" customHeight="1" x14ac:dyDescent="0.25">
      <c r="A34" s="6">
        <v>30</v>
      </c>
      <c r="B34" s="4" t="s">
        <v>68</v>
      </c>
      <c r="C34" s="63" t="s">
        <v>67</v>
      </c>
      <c r="D34" s="5" t="s">
        <v>45</v>
      </c>
      <c r="E34" s="4">
        <v>10</v>
      </c>
    </row>
    <row r="35" spans="1:5" ht="18" customHeight="1" x14ac:dyDescent="0.25">
      <c r="A35" s="3">
        <v>31</v>
      </c>
      <c r="B35" s="4" t="s">
        <v>70</v>
      </c>
      <c r="C35" s="63" t="s">
        <v>69</v>
      </c>
      <c r="D35" s="5" t="s">
        <v>45</v>
      </c>
      <c r="E35" s="4">
        <v>10</v>
      </c>
    </row>
    <row r="36" spans="1:5" ht="18" customHeight="1" x14ac:dyDescent="0.25">
      <c r="A36" s="6">
        <v>32</v>
      </c>
      <c r="B36" s="4" t="s">
        <v>72</v>
      </c>
      <c r="C36" s="63" t="s">
        <v>71</v>
      </c>
      <c r="D36" s="5" t="s">
        <v>45</v>
      </c>
      <c r="E36" s="4">
        <v>9</v>
      </c>
    </row>
    <row r="37" spans="1:5" ht="18" customHeight="1" x14ac:dyDescent="0.25">
      <c r="A37" s="3">
        <v>33</v>
      </c>
      <c r="B37" s="4" t="s">
        <v>60</v>
      </c>
      <c r="C37" s="63" t="s">
        <v>73</v>
      </c>
      <c r="D37" s="5" t="s">
        <v>45</v>
      </c>
      <c r="E37" s="4">
        <v>10</v>
      </c>
    </row>
    <row r="38" spans="1:5" ht="18" customHeight="1" x14ac:dyDescent="0.25">
      <c r="A38" s="6">
        <v>34</v>
      </c>
      <c r="B38" s="4" t="s">
        <v>74</v>
      </c>
      <c r="C38" s="63" t="s">
        <v>75</v>
      </c>
      <c r="D38" s="5" t="s">
        <v>76</v>
      </c>
      <c r="E38" s="4">
        <v>11</v>
      </c>
    </row>
    <row r="39" spans="1:5" ht="18" customHeight="1" x14ac:dyDescent="0.25">
      <c r="A39" s="3">
        <v>35</v>
      </c>
      <c r="B39" s="4" t="s">
        <v>77</v>
      </c>
      <c r="C39" s="63" t="s">
        <v>78</v>
      </c>
      <c r="D39" s="5" t="s">
        <v>76</v>
      </c>
      <c r="E39" s="4">
        <v>10</v>
      </c>
    </row>
    <row r="40" spans="1:5" ht="18" customHeight="1" x14ac:dyDescent="0.25">
      <c r="A40" s="6">
        <v>36</v>
      </c>
      <c r="B40" s="4" t="s">
        <v>79</v>
      </c>
      <c r="C40" s="63" t="s">
        <v>80</v>
      </c>
      <c r="D40" s="5" t="s">
        <v>76</v>
      </c>
      <c r="E40" s="4">
        <v>9</v>
      </c>
    </row>
    <row r="41" spans="1:5" ht="18" customHeight="1" x14ac:dyDescent="0.25">
      <c r="A41" s="3">
        <v>37</v>
      </c>
      <c r="B41" s="4" t="s">
        <v>81</v>
      </c>
      <c r="C41" s="63" t="s">
        <v>82</v>
      </c>
      <c r="D41" s="5" t="s">
        <v>76</v>
      </c>
      <c r="E41" s="4">
        <v>9</v>
      </c>
    </row>
    <row r="42" spans="1:5" ht="18" customHeight="1" x14ac:dyDescent="0.25">
      <c r="A42" s="6">
        <v>38</v>
      </c>
      <c r="B42" s="4" t="s">
        <v>83</v>
      </c>
      <c r="C42" s="63" t="s">
        <v>84</v>
      </c>
      <c r="D42" s="5" t="s">
        <v>76</v>
      </c>
      <c r="E42" s="4">
        <v>7</v>
      </c>
    </row>
    <row r="43" spans="1:5" ht="18" customHeight="1" x14ac:dyDescent="0.25">
      <c r="A43" s="3">
        <v>39</v>
      </c>
      <c r="B43" s="4" t="s">
        <v>85</v>
      </c>
      <c r="C43" s="63" t="s">
        <v>86</v>
      </c>
      <c r="D43" s="5" t="s">
        <v>76</v>
      </c>
      <c r="E43" s="4">
        <v>9</v>
      </c>
    </row>
    <row r="44" spans="1:5" ht="18" customHeight="1" x14ac:dyDescent="0.25">
      <c r="A44" s="6">
        <v>40</v>
      </c>
      <c r="B44" s="4" t="s">
        <v>87</v>
      </c>
      <c r="C44" s="63" t="s">
        <v>88</v>
      </c>
      <c r="D44" s="5" t="s">
        <v>76</v>
      </c>
      <c r="E44" s="4">
        <v>8</v>
      </c>
    </row>
    <row r="45" spans="1:5" ht="18" customHeight="1" x14ac:dyDescent="0.25">
      <c r="A45" s="3">
        <v>41</v>
      </c>
      <c r="B45" s="4" t="s">
        <v>89</v>
      </c>
      <c r="C45" s="63" t="s">
        <v>90</v>
      </c>
      <c r="D45" s="5" t="s">
        <v>76</v>
      </c>
      <c r="E45" s="4">
        <v>11</v>
      </c>
    </row>
    <row r="46" spans="1:5" ht="18" customHeight="1" x14ac:dyDescent="0.25">
      <c r="A46" s="6">
        <v>42</v>
      </c>
      <c r="B46" s="4" t="s">
        <v>91</v>
      </c>
      <c r="C46" s="63" t="s">
        <v>92</v>
      </c>
      <c r="D46" s="5" t="s">
        <v>76</v>
      </c>
      <c r="E46" s="4">
        <v>9</v>
      </c>
    </row>
    <row r="47" spans="1:5" ht="18" customHeight="1" x14ac:dyDescent="0.25">
      <c r="A47" s="3">
        <v>43</v>
      </c>
      <c r="B47" s="4" t="s">
        <v>93</v>
      </c>
      <c r="C47" s="63" t="s">
        <v>94</v>
      </c>
      <c r="D47" s="5" t="s">
        <v>76</v>
      </c>
      <c r="E47" s="4">
        <v>9</v>
      </c>
    </row>
    <row r="48" spans="1:5" ht="18" customHeight="1" x14ac:dyDescent="0.25">
      <c r="A48" s="6">
        <v>44</v>
      </c>
      <c r="B48" s="4" t="s">
        <v>95</v>
      </c>
      <c r="C48" s="63" t="s">
        <v>96</v>
      </c>
      <c r="D48" s="5" t="s">
        <v>76</v>
      </c>
      <c r="E48" s="4">
        <v>8</v>
      </c>
    </row>
    <row r="49" spans="1:5" ht="18" customHeight="1" x14ac:dyDescent="0.25">
      <c r="A49" s="3">
        <v>45</v>
      </c>
      <c r="B49" s="4" t="s">
        <v>97</v>
      </c>
      <c r="C49" s="63" t="s">
        <v>98</v>
      </c>
      <c r="D49" s="5" t="s">
        <v>76</v>
      </c>
      <c r="E49" s="4">
        <v>8</v>
      </c>
    </row>
    <row r="50" spans="1:5" ht="18" customHeight="1" x14ac:dyDescent="0.25">
      <c r="A50" s="6">
        <v>46</v>
      </c>
      <c r="B50" s="4" t="s">
        <v>99</v>
      </c>
      <c r="C50" s="63" t="s">
        <v>100</v>
      </c>
      <c r="D50" s="5" t="s">
        <v>101</v>
      </c>
      <c r="E50" s="4">
        <v>10</v>
      </c>
    </row>
    <row r="51" spans="1:5" ht="18" customHeight="1" x14ac:dyDescent="0.25">
      <c r="A51" s="3">
        <v>47</v>
      </c>
      <c r="B51" s="4" t="s">
        <v>102</v>
      </c>
      <c r="C51" s="63" t="s">
        <v>103</v>
      </c>
      <c r="D51" s="5" t="s">
        <v>101</v>
      </c>
      <c r="E51" s="4">
        <v>9</v>
      </c>
    </row>
    <row r="52" spans="1:5" ht="18" customHeight="1" x14ac:dyDescent="0.25">
      <c r="A52" s="6">
        <v>48</v>
      </c>
      <c r="B52" s="4" t="s">
        <v>106</v>
      </c>
      <c r="C52" s="63" t="s">
        <v>105</v>
      </c>
      <c r="D52" s="5" t="s">
        <v>101</v>
      </c>
      <c r="E52" s="4">
        <v>11</v>
      </c>
    </row>
    <row r="53" spans="1:5" ht="18" customHeight="1" x14ac:dyDescent="0.25">
      <c r="A53" s="3">
        <v>49</v>
      </c>
      <c r="B53" s="4" t="s">
        <v>108</v>
      </c>
      <c r="C53" s="63" t="s">
        <v>107</v>
      </c>
      <c r="D53" s="5" t="s">
        <v>101</v>
      </c>
      <c r="E53" s="4">
        <v>10</v>
      </c>
    </row>
    <row r="54" spans="1:5" ht="18" customHeight="1" x14ac:dyDescent="0.25">
      <c r="A54" s="6">
        <v>50</v>
      </c>
      <c r="B54" s="4" t="s">
        <v>104</v>
      </c>
      <c r="C54" s="63" t="s">
        <v>109</v>
      </c>
      <c r="D54" s="5" t="s">
        <v>101</v>
      </c>
      <c r="E54" s="4">
        <v>9</v>
      </c>
    </row>
    <row r="55" spans="1:5" ht="18" customHeight="1" x14ac:dyDescent="0.25">
      <c r="A55" s="3">
        <v>51</v>
      </c>
      <c r="B55" s="4" t="s">
        <v>110</v>
      </c>
      <c r="C55" s="63" t="s">
        <v>111</v>
      </c>
      <c r="D55" s="5" t="s">
        <v>101</v>
      </c>
      <c r="E55" s="4">
        <v>10</v>
      </c>
    </row>
    <row r="56" spans="1:5" ht="18" customHeight="1" x14ac:dyDescent="0.25">
      <c r="A56" s="6">
        <v>52</v>
      </c>
      <c r="B56" s="4" t="s">
        <v>112</v>
      </c>
      <c r="C56" s="63" t="s">
        <v>113</v>
      </c>
      <c r="D56" s="5" t="s">
        <v>101</v>
      </c>
      <c r="E56" s="4">
        <v>9</v>
      </c>
    </row>
    <row r="57" spans="1:5" ht="18" customHeight="1" x14ac:dyDescent="0.25">
      <c r="A57" s="3">
        <v>53</v>
      </c>
      <c r="B57" s="4" t="s">
        <v>114</v>
      </c>
      <c r="C57" s="63" t="s">
        <v>115</v>
      </c>
      <c r="D57" s="5" t="s">
        <v>101</v>
      </c>
      <c r="E57" s="4">
        <v>9</v>
      </c>
    </row>
    <row r="58" spans="1:5" ht="18" customHeight="1" x14ac:dyDescent="0.25">
      <c r="A58" s="6">
        <v>54</v>
      </c>
      <c r="B58" s="4" t="s">
        <v>116</v>
      </c>
      <c r="C58" s="63" t="s">
        <v>117</v>
      </c>
      <c r="D58" s="5" t="s">
        <v>101</v>
      </c>
      <c r="E58" s="4">
        <v>9</v>
      </c>
    </row>
    <row r="59" spans="1:5" ht="18" customHeight="1" x14ac:dyDescent="0.25">
      <c r="A59" s="3">
        <v>55</v>
      </c>
      <c r="B59" s="4" t="s">
        <v>118</v>
      </c>
      <c r="C59" s="63" t="s">
        <v>119</v>
      </c>
      <c r="D59" s="5" t="s">
        <v>101</v>
      </c>
      <c r="E59" s="4">
        <v>16</v>
      </c>
    </row>
    <row r="60" spans="1:5" ht="18" customHeight="1" x14ac:dyDescent="0.25">
      <c r="A60" s="6">
        <v>56</v>
      </c>
      <c r="B60" s="4" t="s">
        <v>120</v>
      </c>
      <c r="C60" s="63" t="s">
        <v>121</v>
      </c>
      <c r="D60" s="5" t="s">
        <v>101</v>
      </c>
      <c r="E60" s="4">
        <v>13</v>
      </c>
    </row>
    <row r="61" spans="1:5" ht="18" customHeight="1" x14ac:dyDescent="0.25">
      <c r="A61" s="3">
        <v>57</v>
      </c>
      <c r="B61" s="4" t="s">
        <v>122</v>
      </c>
      <c r="C61" s="63" t="s">
        <v>123</v>
      </c>
      <c r="D61" s="5" t="s">
        <v>101</v>
      </c>
      <c r="E61" s="4">
        <v>12</v>
      </c>
    </row>
    <row r="62" spans="1:5" ht="18" customHeight="1" x14ac:dyDescent="0.25">
      <c r="A62" s="6">
        <v>58</v>
      </c>
      <c r="B62" s="4" t="s">
        <v>124</v>
      </c>
      <c r="C62" s="63" t="s">
        <v>125</v>
      </c>
      <c r="D62" s="5" t="s">
        <v>101</v>
      </c>
      <c r="E62" s="4">
        <v>13</v>
      </c>
    </row>
    <row r="63" spans="1:5" ht="18" customHeight="1" x14ac:dyDescent="0.25">
      <c r="A63" s="3">
        <v>59</v>
      </c>
      <c r="B63" s="4" t="s">
        <v>126</v>
      </c>
      <c r="C63" s="63" t="s">
        <v>127</v>
      </c>
      <c r="D63" s="5" t="s">
        <v>101</v>
      </c>
      <c r="E63" s="4">
        <v>10</v>
      </c>
    </row>
    <row r="64" spans="1:5" ht="18" customHeight="1" x14ac:dyDescent="0.25">
      <c r="A64" s="6">
        <v>60</v>
      </c>
      <c r="B64" s="4" t="s">
        <v>128</v>
      </c>
      <c r="C64" s="63" t="s">
        <v>129</v>
      </c>
      <c r="D64" s="5" t="s">
        <v>101</v>
      </c>
      <c r="E64" s="4">
        <v>10</v>
      </c>
    </row>
    <row r="65" spans="1:5" ht="18" customHeight="1" x14ac:dyDescent="0.25">
      <c r="A65" s="3">
        <v>61</v>
      </c>
      <c r="B65" s="4" t="s">
        <v>130</v>
      </c>
      <c r="C65" s="63" t="s">
        <v>131</v>
      </c>
      <c r="D65" s="5" t="s">
        <v>101</v>
      </c>
      <c r="E65" s="4">
        <v>10</v>
      </c>
    </row>
    <row r="66" spans="1:5" ht="18" customHeight="1" x14ac:dyDescent="0.25">
      <c r="A66" s="6">
        <v>62</v>
      </c>
      <c r="B66" s="4" t="s">
        <v>134</v>
      </c>
      <c r="C66" s="63" t="s">
        <v>133</v>
      </c>
      <c r="D66" s="5" t="s">
        <v>101</v>
      </c>
      <c r="E66" s="4">
        <v>10</v>
      </c>
    </row>
    <row r="67" spans="1:5" ht="18" customHeight="1" x14ac:dyDescent="0.25">
      <c r="A67" s="3">
        <v>63</v>
      </c>
      <c r="B67" s="4" t="s">
        <v>132</v>
      </c>
      <c r="C67" s="63" t="s">
        <v>135</v>
      </c>
      <c r="D67" s="5" t="s">
        <v>101</v>
      </c>
      <c r="E67" s="4">
        <v>10</v>
      </c>
    </row>
    <row r="68" spans="1:5" ht="18" customHeight="1" x14ac:dyDescent="0.25">
      <c r="A68" s="6">
        <v>64</v>
      </c>
      <c r="B68" s="4" t="s">
        <v>136</v>
      </c>
      <c r="C68" s="63" t="s">
        <v>137</v>
      </c>
      <c r="D68" s="5" t="s">
        <v>138</v>
      </c>
      <c r="E68" s="4">
        <v>8</v>
      </c>
    </row>
    <row r="69" spans="1:5" ht="18" customHeight="1" x14ac:dyDescent="0.25">
      <c r="A69" s="3">
        <v>65</v>
      </c>
      <c r="B69" s="4" t="s">
        <v>139</v>
      </c>
      <c r="C69" s="63" t="s">
        <v>140</v>
      </c>
      <c r="D69" s="5" t="s">
        <v>138</v>
      </c>
      <c r="E69" s="4">
        <v>11</v>
      </c>
    </row>
    <row r="70" spans="1:5" ht="18" customHeight="1" x14ac:dyDescent="0.25">
      <c r="A70" s="6">
        <v>66</v>
      </c>
      <c r="B70" s="4" t="s">
        <v>141</v>
      </c>
      <c r="C70" s="63" t="s">
        <v>142</v>
      </c>
      <c r="D70" s="5" t="s">
        <v>138</v>
      </c>
      <c r="E70" s="4">
        <v>13</v>
      </c>
    </row>
    <row r="71" spans="1:5" ht="18" customHeight="1" x14ac:dyDescent="0.25">
      <c r="A71" s="3">
        <v>67</v>
      </c>
      <c r="B71" s="4" t="s">
        <v>143</v>
      </c>
      <c r="C71" s="63" t="s">
        <v>144</v>
      </c>
      <c r="D71" s="5" t="s">
        <v>138</v>
      </c>
      <c r="E71" s="4">
        <v>11</v>
      </c>
    </row>
    <row r="72" spans="1:5" ht="18" customHeight="1" x14ac:dyDescent="0.25">
      <c r="A72" s="6">
        <v>68</v>
      </c>
      <c r="B72" s="4" t="s">
        <v>145</v>
      </c>
      <c r="C72" s="63" t="s">
        <v>146</v>
      </c>
      <c r="D72" s="5" t="s">
        <v>138</v>
      </c>
      <c r="E72" s="4">
        <v>12</v>
      </c>
    </row>
    <row r="73" spans="1:5" ht="18" customHeight="1" x14ac:dyDescent="0.25">
      <c r="A73" s="3">
        <v>69</v>
      </c>
      <c r="B73" s="4" t="s">
        <v>157</v>
      </c>
      <c r="C73" s="63" t="s">
        <v>148</v>
      </c>
      <c r="D73" s="5" t="s">
        <v>138</v>
      </c>
      <c r="E73" s="4">
        <v>11</v>
      </c>
    </row>
    <row r="74" spans="1:5" ht="18" customHeight="1" x14ac:dyDescent="0.25">
      <c r="A74" s="6">
        <v>70</v>
      </c>
      <c r="B74" s="4" t="s">
        <v>159</v>
      </c>
      <c r="C74" s="63" t="s">
        <v>150</v>
      </c>
      <c r="D74" s="5" t="s">
        <v>138</v>
      </c>
      <c r="E74" s="4">
        <v>11</v>
      </c>
    </row>
    <row r="75" spans="1:5" ht="18" customHeight="1" x14ac:dyDescent="0.25">
      <c r="A75" s="3">
        <v>71</v>
      </c>
      <c r="B75" s="4" t="s">
        <v>149</v>
      </c>
      <c r="C75" s="63" t="s">
        <v>152</v>
      </c>
      <c r="D75" s="5" t="s">
        <v>138</v>
      </c>
      <c r="E75" s="4">
        <v>11</v>
      </c>
    </row>
    <row r="76" spans="1:5" ht="18" customHeight="1" x14ac:dyDescent="0.25">
      <c r="A76" s="6">
        <v>72</v>
      </c>
      <c r="B76" s="4" t="s">
        <v>153</v>
      </c>
      <c r="C76" s="63" t="s">
        <v>154</v>
      </c>
      <c r="D76" s="5" t="s">
        <v>138</v>
      </c>
      <c r="E76" s="4">
        <v>10</v>
      </c>
    </row>
    <row r="77" spans="1:5" ht="18" customHeight="1" x14ac:dyDescent="0.25">
      <c r="A77" s="3">
        <v>73</v>
      </c>
      <c r="B77" s="4" t="s">
        <v>147</v>
      </c>
      <c r="C77" s="63" t="s">
        <v>156</v>
      </c>
      <c r="D77" s="5" t="s">
        <v>138</v>
      </c>
      <c r="E77" s="4">
        <v>11</v>
      </c>
    </row>
    <row r="78" spans="1:5" ht="18" customHeight="1" x14ac:dyDescent="0.25">
      <c r="A78" s="6">
        <v>74</v>
      </c>
      <c r="B78" s="4" t="s">
        <v>151</v>
      </c>
      <c r="C78" s="63" t="s">
        <v>158</v>
      </c>
      <c r="D78" s="5" t="s">
        <v>138</v>
      </c>
      <c r="E78" s="4">
        <v>10</v>
      </c>
    </row>
    <row r="79" spans="1:5" ht="18" customHeight="1" x14ac:dyDescent="0.25">
      <c r="A79" s="3">
        <v>75</v>
      </c>
      <c r="B79" s="4" t="s">
        <v>155</v>
      </c>
      <c r="C79" s="63" t="s">
        <v>160</v>
      </c>
      <c r="D79" s="5" t="s">
        <v>138</v>
      </c>
      <c r="E79" s="4">
        <v>13</v>
      </c>
    </row>
    <row r="80" spans="1:5" ht="18" customHeight="1" x14ac:dyDescent="0.25">
      <c r="A80" s="6">
        <v>76</v>
      </c>
      <c r="B80" s="4" t="s">
        <v>161</v>
      </c>
      <c r="C80" s="63" t="s">
        <v>162</v>
      </c>
      <c r="D80" s="5" t="s">
        <v>138</v>
      </c>
      <c r="E80" s="4">
        <v>8</v>
      </c>
    </row>
    <row r="81" spans="1:5" ht="19.5" customHeight="1" x14ac:dyDescent="0.25">
      <c r="A81" s="3">
        <v>77</v>
      </c>
      <c r="B81" s="4" t="s">
        <v>170</v>
      </c>
      <c r="C81" s="63" t="s">
        <v>164</v>
      </c>
      <c r="D81" s="5" t="s">
        <v>165</v>
      </c>
      <c r="E81" s="4">
        <v>10</v>
      </c>
    </row>
    <row r="82" spans="1:5" ht="15" customHeight="1" x14ac:dyDescent="0.25">
      <c r="A82" s="6">
        <v>78</v>
      </c>
      <c r="B82" s="4" t="s">
        <v>176</v>
      </c>
      <c r="C82" s="63" t="s">
        <v>167</v>
      </c>
      <c r="D82" s="5" t="s">
        <v>165</v>
      </c>
      <c r="E82" s="4">
        <v>11</v>
      </c>
    </row>
    <row r="83" spans="1:5" ht="13.5" customHeight="1" x14ac:dyDescent="0.25">
      <c r="A83" s="3">
        <v>79</v>
      </c>
      <c r="B83" s="4" t="s">
        <v>172</v>
      </c>
      <c r="C83" s="63" t="s">
        <v>169</v>
      </c>
      <c r="D83" s="5" t="s">
        <v>165</v>
      </c>
      <c r="E83" s="4">
        <v>10</v>
      </c>
    </row>
    <row r="84" spans="1:5" ht="15" customHeight="1" x14ac:dyDescent="0.25">
      <c r="A84" s="6">
        <v>80</v>
      </c>
      <c r="B84" s="4" t="s">
        <v>174</v>
      </c>
      <c r="C84" s="63" t="s">
        <v>171</v>
      </c>
      <c r="D84" s="5" t="s">
        <v>165</v>
      </c>
      <c r="E84" s="4">
        <v>14</v>
      </c>
    </row>
    <row r="85" spans="1:5" ht="15" customHeight="1" x14ac:dyDescent="0.25">
      <c r="A85" s="3">
        <v>81</v>
      </c>
      <c r="B85" s="4" t="s">
        <v>178</v>
      </c>
      <c r="C85" s="63" t="s">
        <v>173</v>
      </c>
      <c r="D85" s="5" t="s">
        <v>165</v>
      </c>
      <c r="E85" s="4">
        <v>10</v>
      </c>
    </row>
    <row r="86" spans="1:5" x14ac:dyDescent="0.25">
      <c r="A86" s="6">
        <v>82</v>
      </c>
      <c r="B86" s="4" t="s">
        <v>182</v>
      </c>
      <c r="C86" s="63" t="s">
        <v>175</v>
      </c>
      <c r="D86" s="5" t="s">
        <v>165</v>
      </c>
      <c r="E86" s="4">
        <v>11</v>
      </c>
    </row>
    <row r="87" spans="1:5" ht="15" customHeight="1" x14ac:dyDescent="0.25">
      <c r="A87" s="3">
        <v>83</v>
      </c>
      <c r="B87" s="4" t="s">
        <v>184</v>
      </c>
      <c r="C87" s="63" t="s">
        <v>177</v>
      </c>
      <c r="D87" s="5" t="s">
        <v>165</v>
      </c>
      <c r="E87" s="4">
        <v>12</v>
      </c>
    </row>
    <row r="88" spans="1:5" x14ac:dyDescent="0.25">
      <c r="A88" s="6">
        <v>84</v>
      </c>
      <c r="B88" s="4" t="s">
        <v>186</v>
      </c>
      <c r="C88" s="63" t="s">
        <v>179</v>
      </c>
      <c r="D88" s="5" t="s">
        <v>165</v>
      </c>
      <c r="E88" s="4">
        <v>12</v>
      </c>
    </row>
    <row r="89" spans="1:5" x14ac:dyDescent="0.25">
      <c r="A89" s="3">
        <v>85</v>
      </c>
      <c r="B89" s="4" t="s">
        <v>188</v>
      </c>
      <c r="C89" s="63" t="s">
        <v>181</v>
      </c>
      <c r="D89" s="5" t="s">
        <v>165</v>
      </c>
      <c r="E89" s="4">
        <v>11</v>
      </c>
    </row>
    <row r="90" spans="1:5" x14ac:dyDescent="0.25">
      <c r="A90" s="6">
        <v>86</v>
      </c>
      <c r="B90" s="4" t="s">
        <v>163</v>
      </c>
      <c r="C90" s="63" t="s">
        <v>183</v>
      </c>
      <c r="D90" s="5" t="s">
        <v>165</v>
      </c>
      <c r="E90" s="4">
        <v>11</v>
      </c>
    </row>
    <row r="91" spans="1:5" x14ac:dyDescent="0.25">
      <c r="A91" s="3">
        <v>87</v>
      </c>
      <c r="B91" s="4" t="s">
        <v>166</v>
      </c>
      <c r="C91" s="63" t="s">
        <v>185</v>
      </c>
      <c r="D91" s="5" t="s">
        <v>165</v>
      </c>
      <c r="E91" s="4">
        <v>11</v>
      </c>
    </row>
    <row r="92" spans="1:5" x14ac:dyDescent="0.25">
      <c r="A92" s="6">
        <v>88</v>
      </c>
      <c r="B92" s="4" t="s">
        <v>180</v>
      </c>
      <c r="C92" s="63" t="s">
        <v>187</v>
      </c>
      <c r="D92" s="5" t="s">
        <v>165</v>
      </c>
      <c r="E92" s="4">
        <v>12</v>
      </c>
    </row>
    <row r="93" spans="1:5" x14ac:dyDescent="0.25">
      <c r="A93" s="3">
        <v>89</v>
      </c>
      <c r="B93" s="4" t="s">
        <v>168</v>
      </c>
      <c r="C93" s="63" t="s">
        <v>189</v>
      </c>
      <c r="D93" s="5" t="s">
        <v>165</v>
      </c>
      <c r="E93" s="4">
        <v>11</v>
      </c>
    </row>
    <row r="94" spans="1:5" x14ac:dyDescent="0.25">
      <c r="A94" s="6">
        <v>90</v>
      </c>
      <c r="B94" s="4" t="s">
        <v>190</v>
      </c>
      <c r="C94" s="63" t="s">
        <v>191</v>
      </c>
      <c r="D94" s="5" t="s">
        <v>165</v>
      </c>
      <c r="E94" s="4">
        <v>10</v>
      </c>
    </row>
    <row r="95" spans="1:5" x14ac:dyDescent="0.25">
      <c r="A95" s="3">
        <v>91</v>
      </c>
      <c r="B95" s="4" t="s">
        <v>192</v>
      </c>
      <c r="C95" s="63" t="s">
        <v>193</v>
      </c>
      <c r="D95" s="5" t="s">
        <v>165</v>
      </c>
      <c r="E95" s="4">
        <v>9</v>
      </c>
    </row>
    <row r="96" spans="1:5" x14ac:dyDescent="0.25">
      <c r="A96" s="7" t="s">
        <v>194</v>
      </c>
      <c r="B96" s="8"/>
      <c r="C96" s="7" t="s">
        <v>195</v>
      </c>
      <c r="D96" s="8"/>
      <c r="E96" s="7">
        <f>SUM(E5:E95)</f>
        <v>937</v>
      </c>
    </row>
    <row r="97" spans="1:1" x14ac:dyDescent="0.25">
      <c r="A97" s="32"/>
    </row>
  </sheetData>
  <mergeCells count="2">
    <mergeCell ref="A2:E2"/>
    <mergeCell ref="A1:E1"/>
  </mergeCells>
  <hyperlinks>
    <hyperlink ref="C5" location="'FE-001'!A1" display="MSW Receiving Hopper" xr:uid="{00000000-0004-0000-0000-000000000000}"/>
    <hyperlink ref="C6" location="'FE-002'!A1" display="Magnetic &amp; Eddy Current Separator" xr:uid="{00000000-0004-0000-0000-000001000000}"/>
    <hyperlink ref="C7" location="'FE-003'!A1" display="Weighing Conveyor" xr:uid="{00000000-0004-0000-0000-000002000000}"/>
    <hyperlink ref="C8" location="'FE-004'!A1" display="Shredder / Size Reducer" xr:uid="{00000000-0004-0000-0000-000003000000}"/>
    <hyperlink ref="C9" location="'FE-005'!A1" display="Feed Dryer (Rotary/Belt)" xr:uid="{00000000-0004-0000-0000-000004000000}"/>
    <hyperlink ref="C10" location="'FE-006'!A1" display="Moisture Analyser" xr:uid="{00000000-0004-0000-0000-000005000000}"/>
    <hyperlink ref="C11" location="'FE-007'!A1" display="Feed Screw / Ram Feeder" xr:uid="{00000000-0004-0000-0000-000006000000}"/>
    <hyperlink ref="C12" location="'FE-008'!A1" display="Air-lock / Rotary Valve" xr:uid="{00000000-0004-0000-0000-000007000000}"/>
    <hyperlink ref="C13" location="'GA-001'!A1" display="Gasifier Vessel (Reactor)" xr:uid="{00000000-0004-0000-0000-000008000000}"/>
    <hyperlink ref="C14" location="'GA-002'!A1" display="Gasifier Vessel (Pressure)" xr:uid="{00000000-0004-0000-0000-000009000000}"/>
    <hyperlink ref="C15" location="'GA-003'!A1" display="Air/Steam Injection (Flow)" xr:uid="{00000000-0004-0000-0000-00000A000000}"/>
    <hyperlink ref="C16" location="'GA-004'!A1" display="Air/Steam Injection (Temp)" xr:uid="{00000000-0004-0000-0000-00000B000000}"/>
    <hyperlink ref="C17" location="'GA-005'!A1" display="Bed Drain / Ash Discharge System" xr:uid="{00000000-0004-0000-0000-00000C000000}"/>
    <hyperlink ref="C18" location="'GA-006'!A1" display="Char / Ash Conveyor" xr:uid="{00000000-0004-0000-0000-00000D000000}"/>
    <hyperlink ref="C19" location="'GA-007'!A1" display="Char Collection Bin" xr:uid="{00000000-0004-0000-0000-00000E000000}"/>
    <hyperlink ref="C20" location="'GA-008'!A1" display="Carbon Black Recovery &amp; Classification Unit" xr:uid="{00000000-0004-0000-0000-00000F000000}"/>
    <hyperlink ref="C21" location="'GA-009'!A1" display="Ash Aggregate Processing &amp; Packaging Unit" xr:uid="{00000000-0004-0000-0000-000010000000}"/>
    <hyperlink ref="C22" location="'GA-010'!A1" display="Carbon Black Packaging &amp; Storage Silo" xr:uid="{00000000-0004-0000-0000-000011000000}"/>
    <hyperlink ref="C23" location="'GC-001'!A1" display="Primary Cyclone (Temp)" xr:uid="{00000000-0004-0000-0000-000012000000}"/>
    <hyperlink ref="C24" location="'GC-002'!A1" display="Primary Cyclone (ΔP)" xr:uid="{00000000-0004-0000-0000-000013000000}"/>
    <hyperlink ref="C25" location="'GC-003'!A1" display="Secondary Cyclone" xr:uid="{00000000-0004-0000-0000-000014000000}"/>
    <hyperlink ref="C26" location="'GC-004'!A1" display="Quench Tower (Temp)" xr:uid="{00000000-0004-0000-0000-000015000000}"/>
    <hyperlink ref="C27" location="'GC-005'!A1" display="Quench Tower (Water)" xr:uid="{00000000-0004-0000-0000-000016000000}"/>
    <hyperlink ref="C28" location="'GC-006 '!A1" display="Tar Removal Unit" xr:uid="{00000000-0004-0000-0000-000017000000}"/>
    <hyperlink ref="C29" location="'GC-007'!A1" display="Wet Scrubber (Tar)" xr:uid="{00000000-0004-0000-0000-000018000000}"/>
    <hyperlink ref="C30" location="'GC-008'!A1" display="Wet Scrubber (H₂S)" xr:uid="{00000000-0004-0000-0000-000019000000}"/>
    <hyperlink ref="C31" location="'GC-009'!A1" display="HCl Scrubber (Alkaline)" xr:uid="{00000000-0004-0000-0000-00001A000000}"/>
    <hyperlink ref="C32" location="'GC-010'!A1" display="Bag Filter (Dust)" xr:uid="{00000000-0004-0000-0000-00001B000000}"/>
    <hyperlink ref="C33" location="'GC-011'!A1" display="Bag Filter (ΔP)" xr:uid="{00000000-0004-0000-0000-00001C000000}"/>
    <hyperlink ref="C34" location="'GC-012'!A1" display="Activated Carbon Filter" xr:uid="{00000000-0004-0000-0000-00001D000000}"/>
    <hyperlink ref="C35" location="'GC-013'!A1" display="Gas Blower / ID Fan (Flow)" xr:uid="{00000000-0004-0000-0000-00001E000000}"/>
    <hyperlink ref="C36" location="'GC-014'!A1" display="Gas Blower (Pressure)" xr:uid="{00000000-0004-0000-0000-00001F000000}"/>
    <hyperlink ref="C37" location="'GC-015'!A1" display="Condensate Tank" xr:uid="{00000000-0004-0000-0000-000020000000}"/>
    <hyperlink ref="C38" location="'SA-001'!A1" display="Gas Analyser (H₂)" xr:uid="{00000000-0004-0000-0000-000021000000}"/>
    <hyperlink ref="C39" location="'SA-002'!A1" display="Gas Analyser (CO)" xr:uid="{00000000-0004-0000-0000-000022000000}"/>
    <hyperlink ref="C40" location="'SA-003'!A1" display="Gas Analyser (CO₂)" xr:uid="{00000000-0004-0000-0000-000023000000}"/>
    <hyperlink ref="C41" location="'SA-004'!A1" display="Gas Analyser (CH₄)" xr:uid="{00000000-0004-0000-0000-000024000000}"/>
    <hyperlink ref="C42" location="'SA-005'!A1" display="Gas Analyser (N₂)" xr:uid="{00000000-0004-0000-0000-000025000000}"/>
    <hyperlink ref="C43" location="'SA-006'!A1" display="Gas Calorimeter / LHV" xr:uid="{00000000-0004-0000-0000-000026000000}"/>
    <hyperlink ref="C44" location="'SA-007'!A1" display="Tar Sampling Port" xr:uid="{00000000-0004-0000-0000-000027000000}"/>
    <hyperlink ref="C45" location="'SA-008'!A1" display="H₂S / COS Analyser" xr:uid="{00000000-0004-0000-0000-000028000000}"/>
    <hyperlink ref="C46" location="'SA-009'!A1" display="Dust / Particulate Monitor" xr:uid="{00000000-0004-0000-0000-000029000000}"/>
    <hyperlink ref="C47" location="'SA-010'!A1" display="Gas Flow Meter (Clean)" xr:uid="{00000000-0004-0000-0000-00002A000000}"/>
    <hyperlink ref="C48" location="'SA-011'!A1" display="Gas Temperature Sensor" xr:uid="{00000000-0004-0000-0000-00002B000000}"/>
    <hyperlink ref="C49" location="'SA-012'!A1" display="Gas Pressure Sensor" xr:uid="{00000000-0004-0000-0000-00002C000000}"/>
    <hyperlink ref="C50" location="'HB-001'!A1" display="WGS Reactor HTS (Temp)" xr:uid="{00000000-0004-0000-0000-00002D000000}"/>
    <hyperlink ref="C51" location="'HB-002'!A1" display="WGS Reactor HTS (CO Conv.)" xr:uid="{00000000-0004-0000-0000-00002E000000}"/>
    <hyperlink ref="C52" location="'HB-003'!A1" display="Heat Exchanger (WGS)" xr:uid="{00000000-0004-0000-0000-00002F000000}"/>
    <hyperlink ref="C53" location="'HB-004'!A1" display="WGS Reactor LTS" xr:uid="{00000000-0004-0000-0000-000030000000}"/>
    <hyperlink ref="C54" location="'HB-005'!A1" display="Steam Generator (WGS)" xr:uid="{00000000-0004-0000-0000-000031000000}"/>
    <hyperlink ref="C55" location="'HB-006'!A1" display="PSA Unit (H₂ Purity)" xr:uid="{00000000-0004-0000-0000-000032000000}"/>
    <hyperlink ref="C56" location="'HB-007'!A1" display="PSA Unit (H₂ Recovery)" xr:uid="{00000000-0004-0000-0000-000033000000}"/>
    <hyperlink ref="C57" location="'HB-008'!A1" display="PSA Unit (Pressure)" xr:uid="{00000000-0004-0000-0000-000034000000}"/>
    <hyperlink ref="C58" location="'HB-009'!A1" display="PSA Tail Gas Handler" xr:uid="{00000000-0004-0000-0000-000035000000}"/>
    <hyperlink ref="C59" location="'HB-010'!A1" display="Membrane Separator" xr:uid="{00000000-0004-0000-0000-000036000000}"/>
    <hyperlink ref="C60" location="'HB-011'!A1" display="Electrolyser (Green H₂) — Auxiliary/Optional" xr:uid="{00000000-0004-0000-0000-000037000000}"/>
    <hyperlink ref="C61" location="'HB-012'!A1" display="H₂ Compressor" xr:uid="{00000000-0004-0000-0000-000038000000}"/>
    <hyperlink ref="C62" location="'HB-013'!A1" display="H₂ Storage Vessel" xr:uid="{00000000-0004-0000-0000-000039000000}"/>
    <hyperlink ref="C63" location="'HB-014'!A1" display="LOHC Hydrogenation / Loading Reactor" xr:uid="{00000000-0004-0000-0000-00003A000000}"/>
    <hyperlink ref="C64" location="'HB-015'!A1" display="LOHC Storage Tank (Lean/Rich Oil)" xr:uid="{00000000-0004-0000-0000-00003B000000}"/>
    <hyperlink ref="C65" location="'HB-016'!A1" display="LOHC Dehydrogenation Unit — Auxiliary/Optional" xr:uid="{00000000-0004-0000-0000-00003C000000}"/>
    <hyperlink ref="C66" location="'HB-017'!A1" display="H₂ Purification (Post-LOHC Dehydrogenation)" xr:uid="{00000000-0004-0000-0000-00003D000000}"/>
    <hyperlink ref="C67" location="'HB-018'!A1" display="H₂ Dispensing Station (Mobility/FCEV Refuelling)" xr:uid="{00000000-0004-0000-0000-00003E000000}"/>
    <hyperlink ref="C68" location="'EU-001'!A1" display="SOFC Stack (Temp)" xr:uid="{00000000-0004-0000-0000-00003F000000}"/>
    <hyperlink ref="C69" location="'EU-002'!A1" display="SOFC Stack (Efficiency)" xr:uid="{00000000-0004-0000-0000-000040000000}"/>
    <hyperlink ref="C70" location="'EU-003'!A1" display="Gas Engine / Genset (Power)" xr:uid="{00000000-0004-0000-0000-000041000000}"/>
    <hyperlink ref="C71" location="'EU-004'!A1" display="Gas Engine (Thermal Eff.)" xr:uid="{00000000-0004-0000-0000-000042000000}"/>
    <hyperlink ref="C72" location="'EU-005'!A1" display="Microturbine" xr:uid="{00000000-0004-0000-0000-000043000000}"/>
    <hyperlink ref="C73" location="'EU-006'!A1" display="H₂ Fuel Cell (Stationary)" xr:uid="{00000000-0004-0000-0000-000044000000}"/>
    <hyperlink ref="C74" location="'EU-007'!A1" display="Flare / Emergency Burner" xr:uid="{00000000-0004-0000-0000-000045000000}"/>
    <hyperlink ref="C75" location="'EU-008'!A1" display="Cooling Tower" xr:uid="{00000000-0004-0000-0000-000046000000}"/>
    <hyperlink ref="C76" location="'EU-009'!A1" display="Electrical Metering (Grid)" xr:uid="{00000000-0004-0000-0000-000047000000}"/>
    <hyperlink ref="C77" location="'EU-010'!A1" display="UPS / Battery Buffer" xr:uid="{00000000-0004-0000-0000-000048000000}"/>
    <hyperlink ref="C78" location="'EU-011'!A1" display="Heat Recovery Unit" xr:uid="{00000000-0004-0000-0000-000049000000}"/>
    <hyperlink ref="C79" location="'EU-012'!A1" display="District Heating HX" xr:uid="{00000000-0004-0000-0000-00004A000000}"/>
    <hyperlink ref="C80" location="'EU-013'!A1" display="Thermal Energy Metering (District Heat)" xr:uid="{00000000-0004-0000-0000-00004B000000}"/>
    <hyperlink ref="C81" location="'AI-001'!A1" display="Weather Station" xr:uid="{00000000-0004-0000-0000-00004C000000}"/>
    <hyperlink ref="C82" location="'AI-002'!A1" display="Camera / Vision System" xr:uid="{00000000-0004-0000-0000-00004D000000}"/>
    <hyperlink ref="C83" location="'AI-003'!A1" display="Bed Pressure-Drop Sensor" xr:uid="{00000000-0004-0000-0000-00004E000000}"/>
    <hyperlink ref="C84" location="'AI-004'!A1" display="PLC (Main Control)" xr:uid="{00000000-0004-0000-0000-00004F000000}"/>
    <hyperlink ref="C85" location="'AI-005'!A1" display="OPC-UA Gateway" xr:uid="{00000000-0004-0000-0000-000050000000}"/>
    <hyperlink ref="C86" location="'AI-006'!A1" display="MQTT Broker" xr:uid="{00000000-0004-0000-0000-000051000000}"/>
    <hyperlink ref="C87" location="'AI-007'!A1" display="DCS / SCADA Server" xr:uid="{00000000-0004-0000-0000-000052000000}"/>
    <hyperlink ref="C88" location="'AI-008'!A1" display="Edge Computing Server" xr:uid="{00000000-0004-0000-0000-000053000000}"/>
    <hyperlink ref="C89" location="'AI-009'!A1" display="Cybersecurity Firewall (ICS)" xr:uid="{00000000-0004-0000-0000-000054000000}"/>
    <hyperlink ref="C90" location="'AI-010'!A1" display="Cloud IoT Hub" xr:uid="{00000000-0004-0000-0000-000055000000}"/>
    <hyperlink ref="C91" location="'AI-011'!A1" display="Time-Series Database" xr:uid="{00000000-0004-0000-0000-000056000000}"/>
    <hyperlink ref="C92" location="'AI-012'!A1" display="AI Model Server (MPC/RL)" xr:uid="{00000000-0004-0000-0000-000057000000}"/>
    <hyperlink ref="C93" location="'AI-013'!A1" display="Digital Twin Engine" xr:uid="{00000000-0004-0000-0000-000058000000}"/>
    <hyperlink ref="C94" location="'AI-014'!A1" display="Multi-Module Orchestration Controller" xr:uid="{00000000-0004-0000-0000-000059000000}"/>
    <hyperlink ref="C95" location="'AI-015'!A1" display="RFNBO Compliance &amp; Guarantee-of-Origin Monitor — Auxiliary/Optional" xr:uid="{00000000-0004-0000-0000-00005A000000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6" style="1" customWidth="1"/>
    <col min="2" max="2" width="49.28515625" style="1" bestFit="1" customWidth="1"/>
    <col min="3" max="3" width="6.7109375" style="1" bestFit="1" customWidth="1"/>
    <col min="4" max="4" width="69.28515625" style="1" bestFit="1" customWidth="1"/>
  </cols>
  <sheetData>
    <row r="1" spans="1:5" ht="12" customHeight="1" x14ac:dyDescent="0.25">
      <c r="A1" s="67" t="s">
        <v>196</v>
      </c>
      <c r="B1" s="68"/>
      <c r="C1" s="68"/>
      <c r="D1" s="68"/>
      <c r="E1" s="51"/>
    </row>
    <row r="2" spans="1:5" x14ac:dyDescent="0.25">
      <c r="A2" s="64" t="s">
        <v>197</v>
      </c>
      <c r="B2" s="65"/>
      <c r="C2" s="65"/>
      <c r="D2" s="65"/>
      <c r="E2" s="51"/>
    </row>
    <row r="3" spans="1:5" ht="6.75" customHeight="1" x14ac:dyDescent="0.25">
      <c r="A3" s="51"/>
      <c r="B3" s="51"/>
      <c r="C3" s="51"/>
      <c r="D3" s="51"/>
      <c r="E3" s="51"/>
    </row>
    <row r="4" spans="1:5" x14ac:dyDescent="0.25">
      <c r="A4" s="7" t="s">
        <v>198</v>
      </c>
      <c r="B4" s="60" t="s">
        <v>1078</v>
      </c>
      <c r="C4" s="2" t="s">
        <v>200</v>
      </c>
      <c r="D4" s="60" t="s">
        <v>201</v>
      </c>
      <c r="E4" s="51"/>
    </row>
    <row r="5" spans="1:5" x14ac:dyDescent="0.25">
      <c r="A5" s="56" t="s">
        <v>202</v>
      </c>
      <c r="B5" s="58">
        <v>2</v>
      </c>
      <c r="C5" s="11" t="s">
        <v>203</v>
      </c>
      <c r="D5" s="12" t="s">
        <v>204</v>
      </c>
      <c r="E5" s="51"/>
    </row>
    <row r="6" spans="1:5" x14ac:dyDescent="0.25">
      <c r="A6" s="56" t="s">
        <v>205</v>
      </c>
      <c r="B6" s="58">
        <v>1</v>
      </c>
      <c r="C6" s="52" t="s">
        <v>206</v>
      </c>
      <c r="D6" s="14" t="s">
        <v>207</v>
      </c>
      <c r="E6" s="47"/>
    </row>
    <row r="7" spans="1:5" x14ac:dyDescent="0.25">
      <c r="A7" s="56" t="s">
        <v>208</v>
      </c>
      <c r="B7" s="59" t="s">
        <v>209</v>
      </c>
      <c r="C7" s="11" t="s">
        <v>206</v>
      </c>
      <c r="D7" s="12" t="s">
        <v>210</v>
      </c>
      <c r="E7" s="47"/>
    </row>
    <row r="8" spans="1:5" x14ac:dyDescent="0.25">
      <c r="A8" s="56" t="s">
        <v>211</v>
      </c>
      <c r="B8" s="58">
        <v>1.7</v>
      </c>
      <c r="C8" s="52" t="s">
        <v>203</v>
      </c>
      <c r="D8" s="14" t="s">
        <v>212</v>
      </c>
      <c r="E8" s="47"/>
    </row>
    <row r="9" spans="1:5" x14ac:dyDescent="0.25">
      <c r="A9" s="56" t="s">
        <v>213</v>
      </c>
      <c r="B9" s="59" t="s">
        <v>2096</v>
      </c>
      <c r="C9" s="11" t="s">
        <v>214</v>
      </c>
      <c r="D9" s="12" t="s">
        <v>215</v>
      </c>
      <c r="E9" s="47"/>
    </row>
    <row r="10" spans="1:5" x14ac:dyDescent="0.25">
      <c r="A10" s="56" t="s">
        <v>216</v>
      </c>
      <c r="B10" s="59" t="s">
        <v>1202</v>
      </c>
      <c r="C10" s="52" t="s">
        <v>206</v>
      </c>
      <c r="D10" s="14" t="s">
        <v>217</v>
      </c>
      <c r="E10" s="47"/>
    </row>
    <row r="11" spans="1:5" x14ac:dyDescent="0.25">
      <c r="A11" s="56" t="s">
        <v>218</v>
      </c>
      <c r="B11" s="59" t="s">
        <v>1466</v>
      </c>
      <c r="C11" s="11" t="s">
        <v>219</v>
      </c>
      <c r="D11" s="12" t="s">
        <v>220</v>
      </c>
      <c r="E11" s="47"/>
    </row>
    <row r="12" spans="1:5" x14ac:dyDescent="0.25">
      <c r="A12" s="56" t="s">
        <v>221</v>
      </c>
      <c r="B12" s="58">
        <v>5</v>
      </c>
      <c r="C12" s="52" t="s">
        <v>203</v>
      </c>
      <c r="D12" s="14" t="s">
        <v>222</v>
      </c>
      <c r="E12" s="47"/>
    </row>
    <row r="13" spans="1:5" x14ac:dyDescent="0.25">
      <c r="A13" s="56" t="s">
        <v>223</v>
      </c>
      <c r="B13" s="59" t="s">
        <v>224</v>
      </c>
      <c r="C13" s="11" t="s">
        <v>225</v>
      </c>
      <c r="D13" s="12" t="s">
        <v>226</v>
      </c>
      <c r="E13" s="47"/>
    </row>
    <row r="14" spans="1:5" s="51" customFormat="1" x14ac:dyDescent="0.25">
      <c r="A14" s="56" t="s">
        <v>227</v>
      </c>
      <c r="B14" s="59" t="s">
        <v>2095</v>
      </c>
      <c r="C14" s="11" t="s">
        <v>228</v>
      </c>
      <c r="D14" s="12" t="s">
        <v>229</v>
      </c>
      <c r="E14" s="47"/>
    </row>
    <row r="15" spans="1:5" s="51" customFormat="1" x14ac:dyDescent="0.25">
      <c r="A15" s="56" t="s">
        <v>230</v>
      </c>
      <c r="B15" s="59" t="s">
        <v>231</v>
      </c>
      <c r="C15" s="11" t="s">
        <v>232</v>
      </c>
      <c r="D15" s="12" t="s">
        <v>233</v>
      </c>
      <c r="E15" s="47"/>
    </row>
    <row r="16" spans="1:5" s="51" customFormat="1" x14ac:dyDescent="0.25">
      <c r="A16" s="56" t="s">
        <v>234</v>
      </c>
      <c r="B16" s="59"/>
      <c r="C16" s="11"/>
      <c r="D16" s="12"/>
      <c r="E16" s="47"/>
    </row>
    <row r="17" spans="1:5" x14ac:dyDescent="0.25">
      <c r="A17" s="56" t="s">
        <v>235</v>
      </c>
      <c r="B17" s="57"/>
      <c r="C17" s="36"/>
      <c r="D17" s="37"/>
      <c r="E17" s="47"/>
    </row>
    <row r="18" spans="1:5" x14ac:dyDescent="0.25">
      <c r="A18" s="55"/>
      <c r="B18" s="47"/>
      <c r="C18" s="47"/>
      <c r="D18" s="71"/>
      <c r="E18" s="65"/>
    </row>
    <row r="19" spans="1:5" x14ac:dyDescent="0.25">
      <c r="A19" s="15" t="s">
        <v>236</v>
      </c>
      <c r="B19" s="51"/>
      <c r="C19" s="61"/>
      <c r="D19" s="69" t="s">
        <v>2097</v>
      </c>
      <c r="E19" s="70"/>
    </row>
    <row r="20" spans="1:5" x14ac:dyDescent="0.25">
      <c r="A20" s="51"/>
      <c r="B20" s="51"/>
      <c r="C20" s="53"/>
      <c r="D20" s="71"/>
      <c r="E20" s="65"/>
    </row>
    <row r="21" spans="1:5" x14ac:dyDescent="0.25">
      <c r="A21" s="51"/>
      <c r="B21" s="51"/>
      <c r="C21" s="53"/>
      <c r="D21" s="53"/>
      <c r="E21" s="51"/>
    </row>
    <row r="22" spans="1:5" x14ac:dyDescent="0.25">
      <c r="A22" s="51"/>
      <c r="B22" s="51"/>
      <c r="C22" s="53"/>
      <c r="D22" s="53"/>
      <c r="E22" s="51"/>
    </row>
    <row r="23" spans="1:5" x14ac:dyDescent="0.25">
      <c r="A23" s="51"/>
      <c r="B23" s="51"/>
      <c r="C23" s="53"/>
      <c r="D23" s="53"/>
      <c r="E23" s="51"/>
    </row>
    <row r="24" spans="1:5" x14ac:dyDescent="0.25">
      <c r="A24" s="51"/>
      <c r="B24" s="51"/>
      <c r="C24" s="53"/>
      <c r="D24" s="53"/>
      <c r="E24" s="51"/>
    </row>
    <row r="25" spans="1:5" x14ac:dyDescent="0.25">
      <c r="A25" s="51"/>
      <c r="B25" s="51"/>
      <c r="C25"/>
      <c r="D25" s="53"/>
      <c r="E25" s="51"/>
    </row>
    <row r="26" spans="1:5" x14ac:dyDescent="0.25">
      <c r="A26"/>
      <c r="B26"/>
      <c r="C26"/>
      <c r="D26" s="53"/>
    </row>
    <row r="27" spans="1:5" x14ac:dyDescent="0.25">
      <c r="A27"/>
      <c r="B27"/>
      <c r="C27"/>
      <c r="D27"/>
    </row>
    <row r="28" spans="1:5" x14ac:dyDescent="0.25">
      <c r="A28"/>
      <c r="B28"/>
      <c r="C28" s="46"/>
      <c r="D28"/>
    </row>
    <row r="29" spans="1:5" x14ac:dyDescent="0.25">
      <c r="A29"/>
      <c r="B29"/>
      <c r="C29"/>
      <c r="D29"/>
    </row>
    <row r="30" spans="1:5" x14ac:dyDescent="0.25">
      <c r="A30"/>
      <c r="B30"/>
      <c r="C30" s="46"/>
      <c r="D30"/>
    </row>
    <row r="31" spans="1:5" s="46" customFormat="1" x14ac:dyDescent="0.25"/>
    <row r="32" spans="1:5" x14ac:dyDescent="0.25">
      <c r="A32"/>
      <c r="B32"/>
      <c r="C32"/>
      <c r="D32"/>
    </row>
    <row r="33" spans="1:5" s="46" customFormat="1" x14ac:dyDescent="0.25">
      <c r="C33"/>
    </row>
    <row r="34" spans="1:5" s="46" customFormat="1" x14ac:dyDescent="0.25">
      <c r="C34"/>
    </row>
    <row r="35" spans="1:5" x14ac:dyDescent="0.25">
      <c r="A35"/>
      <c r="B35"/>
      <c r="C35"/>
      <c r="D35"/>
    </row>
    <row r="36" spans="1:5" x14ac:dyDescent="0.25">
      <c r="A36"/>
      <c r="B36"/>
      <c r="C36"/>
      <c r="D36"/>
    </row>
    <row r="37" spans="1:5" x14ac:dyDescent="0.25">
      <c r="A37"/>
      <c r="B37"/>
      <c r="C37"/>
      <c r="D37"/>
    </row>
    <row r="38" spans="1:5" x14ac:dyDescent="0.25">
      <c r="A38"/>
      <c r="B38"/>
      <c r="C38"/>
      <c r="D38"/>
    </row>
    <row r="39" spans="1:5" x14ac:dyDescent="0.25">
      <c r="A39"/>
      <c r="B39"/>
      <c r="C39"/>
      <c r="D39"/>
    </row>
    <row r="40" spans="1:5" x14ac:dyDescent="0.25">
      <c r="A40"/>
      <c r="B40"/>
      <c r="C40" s="46"/>
      <c r="D40"/>
    </row>
    <row r="41" spans="1:5" x14ac:dyDescent="0.25">
      <c r="A41"/>
      <c r="B41"/>
      <c r="D41"/>
    </row>
    <row r="42" spans="1:5" x14ac:dyDescent="0.25">
      <c r="A42"/>
      <c r="B42"/>
      <c r="D42"/>
    </row>
    <row r="43" spans="1:5" x14ac:dyDescent="0.25">
      <c r="A43" s="46"/>
      <c r="B43" s="46"/>
      <c r="D43" s="46"/>
      <c r="E43" s="46"/>
    </row>
  </sheetData>
  <mergeCells count="5">
    <mergeCell ref="A1:D1"/>
    <mergeCell ref="A2:D2"/>
    <mergeCell ref="D19:E19"/>
    <mergeCell ref="D18:E18"/>
    <mergeCell ref="D20:E20"/>
  </mergeCells>
  <hyperlinks>
    <hyperlink ref="A19" location="INDEX!A1" display="&lt;&lt; Back to INDEX" xr:uid="{A9E944C8-A226-40E1-9208-9E1A141E56E5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3"/>
  <sheetViews>
    <sheetView showGridLines="0" zoomScale="115" zoomScaleNormal="115" workbookViewId="0">
      <selection activeCell="A49" sqref="A49"/>
    </sheetView>
  </sheetViews>
  <sheetFormatPr defaultColWidth="8.7109375" defaultRowHeight="15" x14ac:dyDescent="0.25"/>
  <cols>
    <col min="1" max="1" width="36" style="1" customWidth="1"/>
    <col min="2" max="2" width="60.5703125" style="1" bestFit="1" customWidth="1"/>
    <col min="3" max="3" width="4.42578125" style="1" bestFit="1" customWidth="1"/>
    <col min="4" max="4" width="100.42578125" style="1" bestFit="1" customWidth="1"/>
  </cols>
  <sheetData>
    <row r="1" spans="1:5" ht="16.149999999999999" customHeight="1" x14ac:dyDescent="0.25">
      <c r="A1" s="67" t="s">
        <v>1097</v>
      </c>
      <c r="B1" s="68"/>
      <c r="C1" s="68"/>
      <c r="D1" s="68"/>
    </row>
    <row r="2" spans="1:5" s="46" customFormat="1" ht="15.75" customHeight="1" x14ac:dyDescent="0.25">
      <c r="A2" s="64" t="s">
        <v>237</v>
      </c>
      <c r="B2" s="65"/>
      <c r="C2" s="65"/>
      <c r="D2" s="65"/>
    </row>
    <row r="3" spans="1:5" s="46" customFormat="1" ht="6" customHeight="1" x14ac:dyDescent="0.25"/>
    <row r="4" spans="1:5" ht="15" customHeight="1" x14ac:dyDescent="0.25">
      <c r="A4" s="7" t="s">
        <v>198</v>
      </c>
      <c r="B4" s="60" t="s">
        <v>1078</v>
      </c>
      <c r="C4" s="7" t="s">
        <v>200</v>
      </c>
      <c r="D4" s="60" t="s">
        <v>201</v>
      </c>
    </row>
    <row r="5" spans="1:5" ht="15" customHeight="1" x14ac:dyDescent="0.25">
      <c r="A5" s="56" t="s">
        <v>238</v>
      </c>
      <c r="B5" s="58" t="s">
        <v>239</v>
      </c>
      <c r="C5" s="11" t="s">
        <v>206</v>
      </c>
      <c r="D5" s="12" t="s">
        <v>240</v>
      </c>
    </row>
    <row r="6" spans="1:5" x14ac:dyDescent="0.25">
      <c r="A6" s="56" t="s">
        <v>241</v>
      </c>
      <c r="B6" s="58">
        <v>0.5</v>
      </c>
      <c r="C6" s="48" t="s">
        <v>242</v>
      </c>
      <c r="D6" s="14" t="s">
        <v>243</v>
      </c>
      <c r="E6" s="35"/>
    </row>
    <row r="7" spans="1:5" x14ac:dyDescent="0.25">
      <c r="A7" s="56" t="s">
        <v>244</v>
      </c>
      <c r="B7" s="59">
        <v>500</v>
      </c>
      <c r="C7" s="11" t="s">
        <v>214</v>
      </c>
      <c r="D7" s="12" t="s">
        <v>245</v>
      </c>
      <c r="E7" s="35"/>
    </row>
    <row r="8" spans="1:5" x14ac:dyDescent="0.25">
      <c r="A8" s="56" t="s">
        <v>246</v>
      </c>
      <c r="B8" s="58">
        <v>100</v>
      </c>
      <c r="C8" s="48" t="s">
        <v>247</v>
      </c>
      <c r="D8" s="14" t="s">
        <v>248</v>
      </c>
      <c r="E8" s="35"/>
    </row>
    <row r="9" spans="1:5" x14ac:dyDescent="0.25">
      <c r="A9" s="56" t="s">
        <v>249</v>
      </c>
      <c r="B9" s="59" t="s">
        <v>250</v>
      </c>
      <c r="C9" s="11" t="s">
        <v>214</v>
      </c>
      <c r="D9" s="12" t="s">
        <v>251</v>
      </c>
      <c r="E9" s="35"/>
    </row>
    <row r="10" spans="1:5" x14ac:dyDescent="0.25">
      <c r="A10" s="56" t="s">
        <v>252</v>
      </c>
      <c r="B10" s="59" t="s">
        <v>253</v>
      </c>
      <c r="C10" s="48" t="s">
        <v>206</v>
      </c>
      <c r="D10" s="14" t="s">
        <v>255</v>
      </c>
      <c r="E10" s="35"/>
    </row>
    <row r="11" spans="1:5" x14ac:dyDescent="0.25">
      <c r="A11" s="56" t="s">
        <v>256</v>
      </c>
      <c r="B11" s="59">
        <v>0.75</v>
      </c>
      <c r="C11" s="11" t="s">
        <v>254</v>
      </c>
      <c r="D11" s="12" t="s">
        <v>258</v>
      </c>
      <c r="E11" s="35"/>
    </row>
    <row r="12" spans="1:5" x14ac:dyDescent="0.25">
      <c r="A12" s="56" t="s">
        <v>259</v>
      </c>
      <c r="B12" s="58" t="s">
        <v>260</v>
      </c>
      <c r="C12" s="48" t="s">
        <v>1056</v>
      </c>
      <c r="D12" s="14" t="s">
        <v>261</v>
      </c>
      <c r="E12" s="35"/>
    </row>
    <row r="13" spans="1:5" x14ac:dyDescent="0.25">
      <c r="A13" s="56" t="s">
        <v>234</v>
      </c>
      <c r="B13" s="59"/>
      <c r="C13" s="11"/>
      <c r="D13" s="12"/>
      <c r="E13" s="35"/>
    </row>
    <row r="14" spans="1:5" x14ac:dyDescent="0.25">
      <c r="A14" s="56" t="s">
        <v>235</v>
      </c>
      <c r="B14" s="38"/>
      <c r="C14" s="36"/>
      <c r="D14" s="37"/>
      <c r="E14" s="35"/>
    </row>
    <row r="15" spans="1:5" x14ac:dyDescent="0.25">
      <c r="A15" s="55"/>
      <c r="B15" s="35"/>
      <c r="C15" s="35"/>
      <c r="D15" s="35"/>
      <c r="E15" s="35"/>
    </row>
    <row r="16" spans="1:5" x14ac:dyDescent="0.25">
      <c r="A16" s="15" t="s">
        <v>236</v>
      </c>
      <c r="C16"/>
      <c r="D16" s="72" t="str">
        <f>COUNTA(C5:C14)&amp;" of 10 parameters filled"</f>
        <v>8 of 10 parameters filled</v>
      </c>
      <c r="E16" s="73"/>
    </row>
    <row r="17" spans="1:4" x14ac:dyDescent="0.25">
      <c r="A17"/>
      <c r="B17"/>
      <c r="C17"/>
      <c r="D17"/>
    </row>
    <row r="18" spans="1:4" x14ac:dyDescent="0.25">
      <c r="A18"/>
      <c r="B18"/>
      <c r="C18"/>
      <c r="D18"/>
    </row>
    <row r="19" spans="1:4" x14ac:dyDescent="0.25">
      <c r="A19"/>
      <c r="B19"/>
      <c r="C19"/>
      <c r="D19"/>
    </row>
    <row r="21" spans="1:4" x14ac:dyDescent="0.25">
      <c r="A21"/>
      <c r="B21"/>
      <c r="C21"/>
      <c r="D21"/>
    </row>
    <row r="22" spans="1:4" x14ac:dyDescent="0.25">
      <c r="A22"/>
      <c r="B22"/>
      <c r="C22"/>
      <c r="D22"/>
    </row>
    <row r="23" spans="1:4" x14ac:dyDescent="0.25">
      <c r="A23"/>
      <c r="B23"/>
      <c r="C23"/>
      <c r="D23"/>
    </row>
    <row r="24" spans="1:4" x14ac:dyDescent="0.25">
      <c r="A24"/>
      <c r="B24"/>
      <c r="C24"/>
      <c r="D24"/>
    </row>
    <row r="25" spans="1:4" x14ac:dyDescent="0.25">
      <c r="A25"/>
      <c r="B25"/>
      <c r="C25"/>
      <c r="D25"/>
    </row>
    <row r="26" spans="1:4" x14ac:dyDescent="0.25">
      <c r="A26"/>
      <c r="B26"/>
      <c r="C26"/>
      <c r="D26"/>
    </row>
    <row r="27" spans="1:4" x14ac:dyDescent="0.25">
      <c r="A27"/>
      <c r="B27"/>
      <c r="C27"/>
      <c r="D27"/>
    </row>
    <row r="28" spans="1:4" x14ac:dyDescent="0.25">
      <c r="A28"/>
      <c r="B28"/>
      <c r="C28"/>
      <c r="D28"/>
    </row>
    <row r="29" spans="1:4" x14ac:dyDescent="0.25">
      <c r="A29"/>
      <c r="B29"/>
      <c r="C29"/>
      <c r="D29"/>
    </row>
    <row r="30" spans="1:4" x14ac:dyDescent="0.25">
      <c r="A30"/>
      <c r="B30"/>
      <c r="C30"/>
      <c r="D30"/>
    </row>
    <row r="31" spans="1:4" x14ac:dyDescent="0.25">
      <c r="A31"/>
      <c r="B31"/>
      <c r="C31"/>
      <c r="D31"/>
    </row>
    <row r="32" spans="1:4" x14ac:dyDescent="0.25">
      <c r="A32"/>
      <c r="B32"/>
      <c r="C32"/>
      <c r="D32"/>
    </row>
    <row r="33" spans="1:4" x14ac:dyDescent="0.25">
      <c r="A33"/>
      <c r="B33"/>
      <c r="C33"/>
      <c r="D33"/>
    </row>
    <row r="34" spans="1:4" x14ac:dyDescent="0.25">
      <c r="A34"/>
      <c r="B34"/>
      <c r="C34"/>
      <c r="D34"/>
    </row>
    <row r="35" spans="1:4" x14ac:dyDescent="0.25">
      <c r="A35"/>
      <c r="B35"/>
      <c r="C35"/>
      <c r="D35"/>
    </row>
    <row r="36" spans="1:4" x14ac:dyDescent="0.25">
      <c r="A36"/>
      <c r="B36"/>
      <c r="C36"/>
      <c r="D36"/>
    </row>
    <row r="37" spans="1:4" x14ac:dyDescent="0.25">
      <c r="A37"/>
      <c r="B37"/>
      <c r="C37"/>
      <c r="D37"/>
    </row>
    <row r="38" spans="1:4" x14ac:dyDescent="0.25">
      <c r="A38"/>
      <c r="B38"/>
      <c r="C38"/>
      <c r="D38"/>
    </row>
    <row r="39" spans="1:4" x14ac:dyDescent="0.25">
      <c r="A39"/>
      <c r="B39"/>
      <c r="C39"/>
      <c r="D39"/>
    </row>
    <row r="40" spans="1:4" x14ac:dyDescent="0.25">
      <c r="A40"/>
      <c r="B40"/>
      <c r="C40"/>
      <c r="D40"/>
    </row>
    <row r="41" spans="1:4" x14ac:dyDescent="0.25">
      <c r="A41"/>
      <c r="B41"/>
      <c r="C41"/>
      <c r="D41"/>
    </row>
    <row r="42" spans="1:4" x14ac:dyDescent="0.25">
      <c r="A42" s="46"/>
      <c r="B42" s="46"/>
      <c r="C42" s="46"/>
      <c r="D42" s="46"/>
    </row>
    <row r="43" spans="1:4" x14ac:dyDescent="0.25">
      <c r="A43"/>
      <c r="B43"/>
      <c r="D43"/>
    </row>
  </sheetData>
  <mergeCells count="3">
    <mergeCell ref="A2:D2"/>
    <mergeCell ref="D16:E16"/>
    <mergeCell ref="A1:D1"/>
  </mergeCells>
  <hyperlinks>
    <hyperlink ref="A16" location="INDEX!A1" display="&lt;&lt; Back to INDEX" xr:uid="{743F686A-F8C5-4646-9B60-C241175548EE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9.7109375" style="1" bestFit="1" customWidth="1"/>
    <col min="3" max="3" width="5.140625" style="1" bestFit="1" customWidth="1"/>
    <col min="4" max="4" width="88.140625" style="1" bestFit="1" customWidth="1"/>
  </cols>
  <sheetData>
    <row r="1" spans="1:4" ht="15.75" x14ac:dyDescent="0.25">
      <c r="A1" s="67" t="s">
        <v>1096</v>
      </c>
      <c r="B1" s="65"/>
      <c r="C1" s="65"/>
      <c r="D1" s="65"/>
    </row>
    <row r="2" spans="1:4" x14ac:dyDescent="0.25">
      <c r="A2" s="64" t="s">
        <v>262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263</v>
      </c>
      <c r="B5" s="10">
        <v>4.2000000000000003E-2</v>
      </c>
      <c r="C5" s="11" t="s">
        <v>242</v>
      </c>
      <c r="D5" s="12" t="s">
        <v>1045</v>
      </c>
    </row>
    <row r="6" spans="1:4" x14ac:dyDescent="0.25">
      <c r="A6" s="9" t="s">
        <v>264</v>
      </c>
      <c r="B6" s="10">
        <v>2.9000000000000001E-2</v>
      </c>
      <c r="C6" s="13" t="s">
        <v>242</v>
      </c>
      <c r="D6" s="14" t="s">
        <v>1046</v>
      </c>
    </row>
    <row r="7" spans="1:4" x14ac:dyDescent="0.25">
      <c r="A7" s="9" t="s">
        <v>265</v>
      </c>
      <c r="B7" s="10">
        <v>0.05</v>
      </c>
      <c r="C7" s="11" t="s">
        <v>242</v>
      </c>
      <c r="D7" s="12" t="s">
        <v>1047</v>
      </c>
    </row>
    <row r="8" spans="1:4" x14ac:dyDescent="0.25">
      <c r="A8" s="9" t="s">
        <v>244</v>
      </c>
      <c r="B8" s="10">
        <v>400</v>
      </c>
      <c r="C8" s="13" t="s">
        <v>214</v>
      </c>
      <c r="D8" s="14" t="s">
        <v>1048</v>
      </c>
    </row>
    <row r="9" spans="1:4" x14ac:dyDescent="0.25">
      <c r="A9" s="9" t="s">
        <v>266</v>
      </c>
      <c r="B9" s="10" t="s">
        <v>1049</v>
      </c>
      <c r="C9" s="11" t="s">
        <v>267</v>
      </c>
      <c r="D9" s="12" t="s">
        <v>1050</v>
      </c>
    </row>
    <row r="10" spans="1:4" x14ac:dyDescent="0.25">
      <c r="A10" s="9" t="s">
        <v>268</v>
      </c>
      <c r="B10" s="10">
        <v>0.37</v>
      </c>
      <c r="C10" s="13" t="s">
        <v>257</v>
      </c>
      <c r="D10" s="14" t="s">
        <v>1051</v>
      </c>
    </row>
    <row r="11" spans="1:4" x14ac:dyDescent="0.25">
      <c r="A11" s="9" t="s">
        <v>269</v>
      </c>
      <c r="B11" s="10" t="s">
        <v>1052</v>
      </c>
      <c r="C11" s="11" t="s">
        <v>225</v>
      </c>
      <c r="D11" s="12" t="s">
        <v>1053</v>
      </c>
    </row>
    <row r="12" spans="1:4" x14ac:dyDescent="0.25">
      <c r="A12" s="9" t="s">
        <v>270</v>
      </c>
      <c r="B12" s="10">
        <v>3</v>
      </c>
      <c r="C12" s="13" t="s">
        <v>219</v>
      </c>
      <c r="D12" s="14" t="s">
        <v>1054</v>
      </c>
    </row>
    <row r="13" spans="1:4" x14ac:dyDescent="0.25">
      <c r="A13" s="9" t="s">
        <v>271</v>
      </c>
      <c r="B13" s="10">
        <v>0</v>
      </c>
      <c r="C13" s="11" t="s">
        <v>272</v>
      </c>
      <c r="D13" s="12" t="s">
        <v>1055</v>
      </c>
    </row>
    <row r="14" spans="1:4" x14ac:dyDescent="0.25">
      <c r="A14" s="9" t="s">
        <v>234</v>
      </c>
      <c r="B14" s="10"/>
      <c r="C14" s="13"/>
      <c r="D14" s="14"/>
    </row>
    <row r="15" spans="1:4" x14ac:dyDescent="0.25">
      <c r="A15" s="9" t="s">
        <v>235</v>
      </c>
      <c r="B15" s="10"/>
      <c r="C15" s="11"/>
      <c r="D15" s="12"/>
    </row>
    <row r="17" spans="1:4" ht="15.75" customHeight="1" x14ac:dyDescent="0.25">
      <c r="A17" s="15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54.5703125" style="1" bestFit="1" customWidth="1"/>
    <col min="3" max="3" width="14" style="1" customWidth="1"/>
    <col min="4" max="4" width="111" style="1" bestFit="1" customWidth="1"/>
  </cols>
  <sheetData>
    <row r="1" spans="1:4" ht="15.75" x14ac:dyDescent="0.25">
      <c r="A1" s="67" t="s">
        <v>1095</v>
      </c>
      <c r="B1" s="65"/>
      <c r="C1" s="65"/>
      <c r="D1" s="65"/>
    </row>
    <row r="2" spans="1:4" x14ac:dyDescent="0.25">
      <c r="A2" s="64" t="s">
        <v>273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274</v>
      </c>
      <c r="B5" s="10">
        <v>0.1</v>
      </c>
      <c r="C5" s="11" t="s">
        <v>242</v>
      </c>
      <c r="D5" s="12" t="s">
        <v>1057</v>
      </c>
    </row>
    <row r="6" spans="1:4" x14ac:dyDescent="0.25">
      <c r="A6" s="9" t="s">
        <v>275</v>
      </c>
      <c r="B6" s="10">
        <v>20</v>
      </c>
      <c r="C6" s="13" t="s">
        <v>214</v>
      </c>
      <c r="D6" s="14" t="s">
        <v>1058</v>
      </c>
    </row>
    <row r="7" spans="1:4" x14ac:dyDescent="0.25">
      <c r="A7" s="9" t="s">
        <v>276</v>
      </c>
      <c r="B7" s="10">
        <v>40</v>
      </c>
      <c r="C7" s="11" t="s">
        <v>277</v>
      </c>
      <c r="D7" s="12" t="s">
        <v>1059</v>
      </c>
    </row>
    <row r="8" spans="1:4" x14ac:dyDescent="0.25">
      <c r="A8" s="9" t="s">
        <v>268</v>
      </c>
      <c r="B8" s="10">
        <v>15</v>
      </c>
      <c r="C8" s="13" t="s">
        <v>257</v>
      </c>
      <c r="D8" s="14" t="s">
        <v>1060</v>
      </c>
    </row>
    <row r="9" spans="1:4" x14ac:dyDescent="0.25">
      <c r="A9" s="9" t="s">
        <v>278</v>
      </c>
      <c r="B9" s="10" t="s">
        <v>1061</v>
      </c>
      <c r="C9" s="11" t="s">
        <v>206</v>
      </c>
      <c r="D9" s="12" t="s">
        <v>1062</v>
      </c>
    </row>
    <row r="10" spans="1:4" x14ac:dyDescent="0.25">
      <c r="A10" s="9" t="s">
        <v>279</v>
      </c>
      <c r="B10" s="10" t="s">
        <v>1063</v>
      </c>
      <c r="C10" s="13" t="s">
        <v>206</v>
      </c>
      <c r="D10" s="14" t="s">
        <v>1064</v>
      </c>
    </row>
    <row r="11" spans="1:4" x14ac:dyDescent="0.25">
      <c r="A11" s="9" t="s">
        <v>280</v>
      </c>
      <c r="B11" s="10">
        <v>20</v>
      </c>
      <c r="C11" s="11" t="s">
        <v>214</v>
      </c>
      <c r="D11" s="12" t="s">
        <v>1065</v>
      </c>
    </row>
    <row r="12" spans="1:4" x14ac:dyDescent="0.25">
      <c r="A12" s="9" t="s">
        <v>281</v>
      </c>
      <c r="B12" s="10" t="s">
        <v>231</v>
      </c>
      <c r="C12" s="13" t="s">
        <v>232</v>
      </c>
      <c r="D12" s="14" t="s">
        <v>1067</v>
      </c>
    </row>
    <row r="13" spans="1:4" x14ac:dyDescent="0.25">
      <c r="A13" s="9" t="s">
        <v>282</v>
      </c>
      <c r="B13" s="10" t="s">
        <v>1066</v>
      </c>
      <c r="C13" s="11" t="s">
        <v>206</v>
      </c>
      <c r="D13" s="12" t="s">
        <v>1068</v>
      </c>
    </row>
    <row r="14" spans="1:4" x14ac:dyDescent="0.25">
      <c r="A14" s="9" t="s">
        <v>234</v>
      </c>
      <c r="B14" s="10"/>
      <c r="C14" s="13"/>
      <c r="D14" s="14"/>
    </row>
    <row r="15" spans="1:4" x14ac:dyDescent="0.25">
      <c r="A15" s="9" t="s">
        <v>235</v>
      </c>
      <c r="B15" s="10"/>
      <c r="C15" s="11"/>
      <c r="D15" s="12"/>
    </row>
    <row r="17" spans="1:4" ht="15.75" customHeight="1" x14ac:dyDescent="0.25">
      <c r="A17" s="15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showGridLines="0" topLeftCell="B1" zoomScale="160" zoomScaleNormal="160" workbookViewId="0">
      <selection activeCell="D9" sqref="D9"/>
    </sheetView>
  </sheetViews>
  <sheetFormatPr defaultColWidth="8.7109375" defaultRowHeight="15" x14ac:dyDescent="0.25"/>
  <cols>
    <col min="1" max="1" width="36" style="1" customWidth="1"/>
    <col min="2" max="2" width="89.5703125" style="1" bestFit="1" customWidth="1"/>
    <col min="3" max="3" width="14" style="1" customWidth="1"/>
    <col min="4" max="4" width="114" style="1" bestFit="1" customWidth="1"/>
  </cols>
  <sheetData>
    <row r="1" spans="1:5" ht="16.5" x14ac:dyDescent="0.25">
      <c r="A1" s="74" t="s">
        <v>1094</v>
      </c>
      <c r="B1" s="70"/>
      <c r="C1" s="70"/>
      <c r="D1" s="70"/>
    </row>
    <row r="2" spans="1:5" x14ac:dyDescent="0.25">
      <c r="A2" s="75" t="s">
        <v>283</v>
      </c>
      <c r="B2" s="70"/>
      <c r="C2" s="70"/>
      <c r="D2" s="70"/>
    </row>
    <row r="3" spans="1:5" ht="5.25" customHeight="1" x14ac:dyDescent="0.25"/>
    <row r="4" spans="1:5" ht="15" customHeight="1" x14ac:dyDescent="0.25">
      <c r="A4" s="7" t="s">
        <v>198</v>
      </c>
      <c r="B4" s="60" t="s">
        <v>1078</v>
      </c>
      <c r="C4" s="7" t="s">
        <v>200</v>
      </c>
      <c r="D4" s="60" t="s">
        <v>201</v>
      </c>
    </row>
    <row r="5" spans="1:5" x14ac:dyDescent="0.25">
      <c r="A5" s="9" t="s">
        <v>284</v>
      </c>
      <c r="B5" s="10" t="s">
        <v>1069</v>
      </c>
      <c r="C5" s="11" t="s">
        <v>206</v>
      </c>
      <c r="D5" s="12" t="s">
        <v>1071</v>
      </c>
      <c r="E5" s="33"/>
    </row>
    <row r="6" spans="1:5" x14ac:dyDescent="0.25">
      <c r="A6" s="9" t="s">
        <v>241</v>
      </c>
      <c r="B6" s="10">
        <v>0.05</v>
      </c>
      <c r="C6" s="34" t="s">
        <v>242</v>
      </c>
      <c r="D6" s="14" t="s">
        <v>1072</v>
      </c>
      <c r="E6" s="33"/>
    </row>
    <row r="7" spans="1:5" x14ac:dyDescent="0.25">
      <c r="A7" s="9" t="s">
        <v>285</v>
      </c>
      <c r="B7" s="10">
        <v>10</v>
      </c>
      <c r="C7" s="11" t="s">
        <v>286</v>
      </c>
      <c r="D7" s="12" t="s">
        <v>1073</v>
      </c>
      <c r="E7" s="33"/>
    </row>
    <row r="8" spans="1:5" x14ac:dyDescent="0.25">
      <c r="A8" s="9" t="s">
        <v>287</v>
      </c>
      <c r="B8" s="10">
        <v>-1</v>
      </c>
      <c r="C8" s="34" t="s">
        <v>286</v>
      </c>
      <c r="D8" s="14" t="s">
        <v>1074</v>
      </c>
      <c r="E8" s="33"/>
    </row>
    <row r="9" spans="1:5" x14ac:dyDescent="0.25">
      <c r="A9" s="9" t="s">
        <v>288</v>
      </c>
      <c r="B9" s="10" t="s">
        <v>1070</v>
      </c>
      <c r="C9" s="11" t="s">
        <v>206</v>
      </c>
      <c r="D9" s="12" t="s">
        <v>2101</v>
      </c>
      <c r="E9" s="33"/>
    </row>
    <row r="10" spans="1:5" x14ac:dyDescent="0.25">
      <c r="A10" s="9" t="s">
        <v>289</v>
      </c>
      <c r="B10" s="10">
        <v>100</v>
      </c>
      <c r="C10" s="34" t="s">
        <v>228</v>
      </c>
      <c r="D10" s="14" t="s">
        <v>1075</v>
      </c>
      <c r="E10" s="33"/>
    </row>
    <row r="11" spans="1:5" x14ac:dyDescent="0.25">
      <c r="A11" s="9" t="s">
        <v>290</v>
      </c>
      <c r="B11" s="10">
        <v>15</v>
      </c>
      <c r="C11" s="11" t="s">
        <v>291</v>
      </c>
      <c r="D11" s="12" t="s">
        <v>1076</v>
      </c>
      <c r="E11" s="33"/>
    </row>
    <row r="12" spans="1:5" x14ac:dyDescent="0.25">
      <c r="A12" s="9" t="s">
        <v>256</v>
      </c>
      <c r="B12" s="10">
        <v>5</v>
      </c>
      <c r="C12" s="34" t="s">
        <v>257</v>
      </c>
      <c r="D12" s="14" t="s">
        <v>1077</v>
      </c>
      <c r="E12" s="33"/>
    </row>
    <row r="13" spans="1:5" x14ac:dyDescent="0.25">
      <c r="A13" s="9" t="s">
        <v>234</v>
      </c>
      <c r="B13" s="10"/>
      <c r="C13" s="11"/>
      <c r="D13" s="12"/>
      <c r="E13" s="33"/>
    </row>
    <row r="14" spans="1:5" x14ac:dyDescent="0.25">
      <c r="A14" s="9" t="s">
        <v>235</v>
      </c>
      <c r="B14" s="10"/>
      <c r="C14" s="34"/>
      <c r="D14" s="14"/>
      <c r="E14" s="33"/>
    </row>
    <row r="15" spans="1:5" x14ac:dyDescent="0.25">
      <c r="A15" s="33"/>
      <c r="B15" s="33"/>
      <c r="C15" s="33"/>
      <c r="D15" s="33"/>
      <c r="E15" s="33"/>
    </row>
    <row r="16" spans="1:5" x14ac:dyDescent="0.25">
      <c r="A16" s="15" t="s">
        <v>236</v>
      </c>
      <c r="B16" s="33"/>
      <c r="C16" s="71" t="str">
        <f>COUNTA(B5:B14)&amp;" of 11 parameters filled"</f>
        <v>8 of 11 parameters filled</v>
      </c>
      <c r="D16" s="65"/>
      <c r="E16" s="33"/>
    </row>
    <row r="17" spans="1:5" x14ac:dyDescent="0.25">
      <c r="A17" s="33"/>
      <c r="B17" s="33"/>
      <c r="C17" s="33"/>
      <c r="D17" s="33"/>
      <c r="E17" s="33"/>
    </row>
  </sheetData>
  <mergeCells count="3">
    <mergeCell ref="A1:D1"/>
    <mergeCell ref="A2:D2"/>
    <mergeCell ref="C16:D16"/>
  </mergeCells>
  <hyperlinks>
    <hyperlink ref="A16" location="INDEX!A1" display="&lt;&lt; Back to INDEX" xr:uid="{D23B6B93-8178-4C12-B304-35983DB96C8B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46.42578125" style="1" bestFit="1" customWidth="1"/>
    <col min="3" max="3" width="10" style="1" bestFit="1" customWidth="1"/>
    <col min="4" max="4" width="87.28515625" style="1" bestFit="1" customWidth="1"/>
  </cols>
  <sheetData>
    <row r="1" spans="1:4" ht="15.75" x14ac:dyDescent="0.25">
      <c r="A1" s="67" t="s">
        <v>1093</v>
      </c>
      <c r="B1" s="65"/>
      <c r="C1" s="65"/>
      <c r="D1" s="65"/>
    </row>
    <row r="2" spans="1:4" x14ac:dyDescent="0.25">
      <c r="A2" s="64" t="s">
        <v>292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293</v>
      </c>
      <c r="B5" s="10" t="s">
        <v>1079</v>
      </c>
      <c r="C5" s="11" t="s">
        <v>206</v>
      </c>
      <c r="D5" s="12" t="s">
        <v>1084</v>
      </c>
    </row>
    <row r="6" spans="1:4" x14ac:dyDescent="0.25">
      <c r="A6" s="9" t="s">
        <v>294</v>
      </c>
      <c r="B6" s="10" t="s">
        <v>1080</v>
      </c>
      <c r="C6" s="13" t="s">
        <v>286</v>
      </c>
      <c r="D6" s="14" t="s">
        <v>1085</v>
      </c>
    </row>
    <row r="7" spans="1:4" x14ac:dyDescent="0.25">
      <c r="A7" s="9" t="s">
        <v>295</v>
      </c>
      <c r="B7" s="10" t="s">
        <v>1052</v>
      </c>
      <c r="C7" s="11" t="s">
        <v>296</v>
      </c>
      <c r="D7" s="12" t="s">
        <v>1086</v>
      </c>
    </row>
    <row r="8" spans="1:4" x14ac:dyDescent="0.25">
      <c r="A8" s="9" t="s">
        <v>297</v>
      </c>
      <c r="B8" s="10">
        <v>2</v>
      </c>
      <c r="C8" s="13" t="s">
        <v>298</v>
      </c>
      <c r="D8" s="14" t="s">
        <v>1087</v>
      </c>
    </row>
    <row r="9" spans="1:4" x14ac:dyDescent="0.25">
      <c r="A9" s="9" t="s">
        <v>299</v>
      </c>
      <c r="B9" s="10" t="s">
        <v>1081</v>
      </c>
      <c r="C9" s="11" t="s">
        <v>206</v>
      </c>
      <c r="D9" s="12" t="s">
        <v>1088</v>
      </c>
    </row>
    <row r="10" spans="1:4" x14ac:dyDescent="0.25">
      <c r="A10" s="9" t="s">
        <v>300</v>
      </c>
      <c r="B10" s="10" t="s">
        <v>1082</v>
      </c>
      <c r="C10" s="13" t="s">
        <v>206</v>
      </c>
      <c r="D10" s="14" t="s">
        <v>1089</v>
      </c>
    </row>
    <row r="11" spans="1:4" x14ac:dyDescent="0.25">
      <c r="A11" s="9" t="s">
        <v>289</v>
      </c>
      <c r="B11" s="10" t="s">
        <v>1083</v>
      </c>
      <c r="C11" s="11" t="s">
        <v>228</v>
      </c>
      <c r="D11" s="12" t="s">
        <v>1090</v>
      </c>
    </row>
    <row r="12" spans="1:4" x14ac:dyDescent="0.25">
      <c r="A12" s="9" t="s">
        <v>301</v>
      </c>
      <c r="B12" s="10">
        <v>6</v>
      </c>
      <c r="C12" s="13" t="s">
        <v>302</v>
      </c>
      <c r="D12" s="14" t="s">
        <v>1091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46.7109375" style="1" bestFit="1" customWidth="1"/>
    <col min="3" max="3" width="10.28515625" style="1" bestFit="1" customWidth="1"/>
    <col min="4" max="4" width="68.5703125" style="1" bestFit="1" customWidth="1"/>
  </cols>
  <sheetData>
    <row r="1" spans="1:4" ht="15.75" x14ac:dyDescent="0.25">
      <c r="A1" s="67" t="s">
        <v>1092</v>
      </c>
      <c r="B1" s="65"/>
      <c r="C1" s="65"/>
      <c r="D1" s="65"/>
    </row>
    <row r="2" spans="1:4" ht="13.5" customHeight="1" x14ac:dyDescent="0.25">
      <c r="A2" s="64" t="s">
        <v>303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304</v>
      </c>
      <c r="B5" s="10" t="s">
        <v>1098</v>
      </c>
      <c r="C5" s="11" t="s">
        <v>242</v>
      </c>
      <c r="D5" s="12" t="s">
        <v>1099</v>
      </c>
    </row>
    <row r="6" spans="1:4" x14ac:dyDescent="0.25">
      <c r="A6" s="9" t="s">
        <v>305</v>
      </c>
      <c r="B6" s="10">
        <v>400</v>
      </c>
      <c r="C6" s="13" t="s">
        <v>214</v>
      </c>
      <c r="D6" s="14" t="s">
        <v>1102</v>
      </c>
    </row>
    <row r="7" spans="1:4" x14ac:dyDescent="0.25">
      <c r="A7" s="9" t="s">
        <v>306</v>
      </c>
      <c r="B7" s="10">
        <v>4</v>
      </c>
      <c r="C7" s="11" t="s">
        <v>307</v>
      </c>
      <c r="D7" s="12" t="s">
        <v>1103</v>
      </c>
    </row>
    <row r="8" spans="1:4" x14ac:dyDescent="0.25">
      <c r="A8" s="9" t="s">
        <v>268</v>
      </c>
      <c r="B8" s="10">
        <v>5.5</v>
      </c>
      <c r="C8" s="13" t="s">
        <v>257</v>
      </c>
      <c r="D8" s="14" t="s">
        <v>1104</v>
      </c>
    </row>
    <row r="9" spans="1:4" x14ac:dyDescent="0.25">
      <c r="A9" s="9" t="s">
        <v>308</v>
      </c>
      <c r="B9" s="10">
        <v>125</v>
      </c>
      <c r="C9" s="11" t="s">
        <v>214</v>
      </c>
      <c r="D9" s="12" t="s">
        <v>1105</v>
      </c>
    </row>
    <row r="10" spans="1:4" x14ac:dyDescent="0.25">
      <c r="A10" s="9" t="s">
        <v>309</v>
      </c>
      <c r="B10" s="10">
        <v>200</v>
      </c>
      <c r="C10" s="13" t="s">
        <v>310</v>
      </c>
      <c r="D10" s="14" t="s">
        <v>1106</v>
      </c>
    </row>
    <row r="11" spans="1:4" x14ac:dyDescent="0.25">
      <c r="A11" s="9" t="s">
        <v>311</v>
      </c>
      <c r="B11" s="10" t="s">
        <v>1100</v>
      </c>
      <c r="C11" s="11" t="s">
        <v>206</v>
      </c>
      <c r="D11" s="12" t="s">
        <v>1107</v>
      </c>
    </row>
    <row r="12" spans="1:4" x14ac:dyDescent="0.25">
      <c r="A12" s="9" t="s">
        <v>312</v>
      </c>
      <c r="B12" s="10" t="s">
        <v>1101</v>
      </c>
      <c r="C12" s="13" t="s">
        <v>206</v>
      </c>
      <c r="D12" s="14" t="s">
        <v>1108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7.5703125" style="1" bestFit="1" customWidth="1"/>
    <col min="3" max="3" width="6.7109375" style="1" bestFit="1" customWidth="1"/>
    <col min="4" max="4" width="74.140625" style="1" bestFit="1" customWidth="1"/>
  </cols>
  <sheetData>
    <row r="1" spans="1:4" ht="15.75" x14ac:dyDescent="0.25">
      <c r="A1" s="67" t="s">
        <v>1109</v>
      </c>
      <c r="B1" s="65"/>
      <c r="C1" s="65"/>
      <c r="D1" s="65"/>
    </row>
    <row r="2" spans="1:4" x14ac:dyDescent="0.25">
      <c r="A2" s="64" t="s">
        <v>313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314</v>
      </c>
      <c r="B5" s="10" t="s">
        <v>1110</v>
      </c>
      <c r="C5" s="11" t="s">
        <v>242</v>
      </c>
      <c r="D5" s="12" t="s">
        <v>1114</v>
      </c>
    </row>
    <row r="6" spans="1:4" x14ac:dyDescent="0.25">
      <c r="A6" s="9" t="s">
        <v>315</v>
      </c>
      <c r="B6" s="10" t="s">
        <v>1111</v>
      </c>
      <c r="C6" s="13" t="s">
        <v>277</v>
      </c>
      <c r="D6" s="14" t="s">
        <v>1115</v>
      </c>
    </row>
    <row r="7" spans="1:4" x14ac:dyDescent="0.25">
      <c r="A7" s="9" t="s">
        <v>316</v>
      </c>
      <c r="B7" s="10">
        <v>150</v>
      </c>
      <c r="C7" s="11" t="s">
        <v>317</v>
      </c>
      <c r="D7" s="12" t="s">
        <v>1116</v>
      </c>
    </row>
    <row r="8" spans="1:4" x14ac:dyDescent="0.25">
      <c r="A8" s="9" t="s">
        <v>268</v>
      </c>
      <c r="B8" s="10">
        <v>0.75</v>
      </c>
      <c r="C8" s="13" t="s">
        <v>257</v>
      </c>
      <c r="D8" s="14" t="s">
        <v>1117</v>
      </c>
    </row>
    <row r="9" spans="1:4" x14ac:dyDescent="0.25">
      <c r="A9" s="9" t="s">
        <v>318</v>
      </c>
      <c r="B9" s="10">
        <v>2</v>
      </c>
      <c r="C9" s="11" t="s">
        <v>319</v>
      </c>
      <c r="D9" s="12" t="s">
        <v>1118</v>
      </c>
    </row>
    <row r="10" spans="1:4" x14ac:dyDescent="0.25">
      <c r="A10" s="9" t="s">
        <v>320</v>
      </c>
      <c r="B10" s="10" t="s">
        <v>1112</v>
      </c>
      <c r="C10" s="13" t="s">
        <v>206</v>
      </c>
      <c r="D10" s="14" t="s">
        <v>1119</v>
      </c>
    </row>
    <row r="11" spans="1:4" x14ac:dyDescent="0.25">
      <c r="A11" s="9" t="s">
        <v>321</v>
      </c>
      <c r="B11" s="10" t="s">
        <v>1113</v>
      </c>
      <c r="C11" s="11" t="s">
        <v>206</v>
      </c>
      <c r="D11" s="12" t="s">
        <v>1120</v>
      </c>
    </row>
    <row r="12" spans="1:4" x14ac:dyDescent="0.25">
      <c r="A12" s="9" t="s">
        <v>281</v>
      </c>
      <c r="B12" s="10" t="s">
        <v>231</v>
      </c>
      <c r="C12" s="13" t="s">
        <v>232</v>
      </c>
      <c r="D12" s="14" t="s">
        <v>1121</v>
      </c>
    </row>
    <row r="13" spans="1:4" x14ac:dyDescent="0.25">
      <c r="A13" s="9" t="s">
        <v>234</v>
      </c>
      <c r="B13" s="10"/>
      <c r="C13" s="11" t="s">
        <v>206</v>
      </c>
      <c r="D13" s="12"/>
    </row>
    <row r="14" spans="1:4" x14ac:dyDescent="0.25">
      <c r="A14" s="9" t="s">
        <v>235</v>
      </c>
      <c r="B14" s="10"/>
      <c r="C14" s="13" t="s">
        <v>206</v>
      </c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showGridLines="0" zoomScaleNormal="100" workbookViewId="0">
      <pane ySplit="4" topLeftCell="A5" activePane="bottomLeft" state="frozen"/>
      <selection pane="bottomLeft" activeCell="A21" sqref="A21"/>
    </sheetView>
  </sheetViews>
  <sheetFormatPr defaultColWidth="8.7109375" defaultRowHeight="15" x14ac:dyDescent="0.25"/>
  <cols>
    <col min="1" max="1" width="36" style="1" customWidth="1"/>
    <col min="2" max="2" width="74.140625" style="1" bestFit="1" customWidth="1"/>
    <col min="3" max="3" width="7.28515625" style="1" bestFit="1" customWidth="1"/>
    <col min="4" max="4" width="84.5703125" style="1" bestFit="1" customWidth="1"/>
  </cols>
  <sheetData>
    <row r="1" spans="1:4" ht="15.75" x14ac:dyDescent="0.25">
      <c r="A1" s="67" t="s">
        <v>322</v>
      </c>
      <c r="B1" s="65"/>
      <c r="C1" s="65"/>
      <c r="D1" s="65"/>
    </row>
    <row r="2" spans="1:4" x14ac:dyDescent="0.25">
      <c r="A2" s="64" t="s">
        <v>323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324</v>
      </c>
      <c r="B5" s="10">
        <v>1050</v>
      </c>
      <c r="C5" s="11" t="s">
        <v>228</v>
      </c>
      <c r="D5" s="12" t="s">
        <v>1126</v>
      </c>
    </row>
    <row r="6" spans="1:4" x14ac:dyDescent="0.25">
      <c r="A6" s="9" t="s">
        <v>325</v>
      </c>
      <c r="B6" s="10">
        <v>950</v>
      </c>
      <c r="C6" s="13" t="s">
        <v>228</v>
      </c>
      <c r="D6" s="14" t="s">
        <v>1127</v>
      </c>
    </row>
    <row r="7" spans="1:4" x14ac:dyDescent="0.25">
      <c r="A7" s="9" t="s">
        <v>326</v>
      </c>
      <c r="B7" s="10">
        <v>500</v>
      </c>
      <c r="C7" s="11" t="s">
        <v>327</v>
      </c>
      <c r="D7" s="12" t="s">
        <v>1128</v>
      </c>
    </row>
    <row r="8" spans="1:4" x14ac:dyDescent="0.25">
      <c r="A8" s="9" t="s">
        <v>328</v>
      </c>
      <c r="B8" s="10">
        <v>100</v>
      </c>
      <c r="C8" s="13" t="s">
        <v>327</v>
      </c>
      <c r="D8" s="14" t="s">
        <v>1129</v>
      </c>
    </row>
    <row r="9" spans="1:4" x14ac:dyDescent="0.25">
      <c r="A9" s="9" t="s">
        <v>329</v>
      </c>
      <c r="B9" s="10">
        <v>600</v>
      </c>
      <c r="C9" s="11" t="s">
        <v>214</v>
      </c>
      <c r="D9" s="12" t="s">
        <v>1130</v>
      </c>
    </row>
    <row r="10" spans="1:4" x14ac:dyDescent="0.25">
      <c r="A10" s="9" t="s">
        <v>330</v>
      </c>
      <c r="B10" s="10">
        <v>4000</v>
      </c>
      <c r="C10" s="13" t="s">
        <v>214</v>
      </c>
      <c r="D10" s="14" t="s">
        <v>1131</v>
      </c>
    </row>
    <row r="11" spans="1:4" x14ac:dyDescent="0.25">
      <c r="A11" s="9" t="s">
        <v>331</v>
      </c>
      <c r="B11" s="10" t="s">
        <v>1122</v>
      </c>
      <c r="C11" s="11" t="s">
        <v>206</v>
      </c>
      <c r="D11" s="12" t="s">
        <v>1132</v>
      </c>
    </row>
    <row r="12" spans="1:4" x14ac:dyDescent="0.25">
      <c r="A12" s="9" t="s">
        <v>332</v>
      </c>
      <c r="B12" s="10">
        <v>150</v>
      </c>
      <c r="C12" s="13" t="s">
        <v>214</v>
      </c>
      <c r="D12" s="14" t="s">
        <v>1133</v>
      </c>
    </row>
    <row r="13" spans="1:4" x14ac:dyDescent="0.25">
      <c r="A13" s="9" t="s">
        <v>333</v>
      </c>
      <c r="B13" s="10" t="s">
        <v>1123</v>
      </c>
      <c r="C13" s="11" t="s">
        <v>206</v>
      </c>
      <c r="D13" s="12" t="s">
        <v>1134</v>
      </c>
    </row>
    <row r="14" spans="1:4" x14ac:dyDescent="0.25">
      <c r="A14" s="9" t="s">
        <v>334</v>
      </c>
      <c r="B14" s="10">
        <v>4</v>
      </c>
      <c r="C14" s="13" t="s">
        <v>206</v>
      </c>
      <c r="D14" s="14" t="s">
        <v>1135</v>
      </c>
    </row>
    <row r="15" spans="1:4" x14ac:dyDescent="0.25">
      <c r="A15" s="9" t="s">
        <v>335</v>
      </c>
      <c r="B15" s="10" t="s">
        <v>1124</v>
      </c>
      <c r="C15" s="11" t="s">
        <v>206</v>
      </c>
      <c r="D15" s="12" t="s">
        <v>1136</v>
      </c>
    </row>
    <row r="16" spans="1:4" x14ac:dyDescent="0.25">
      <c r="A16" s="9" t="s">
        <v>336</v>
      </c>
      <c r="B16" s="10" t="s">
        <v>1125</v>
      </c>
      <c r="C16" s="13" t="s">
        <v>206</v>
      </c>
      <c r="D16" s="14" t="s">
        <v>1137</v>
      </c>
    </row>
    <row r="17" spans="1:4" x14ac:dyDescent="0.25">
      <c r="A17" s="9" t="s">
        <v>337</v>
      </c>
      <c r="B17" s="10">
        <v>20</v>
      </c>
      <c r="C17" s="11" t="s">
        <v>291</v>
      </c>
      <c r="D17" s="12" t="s">
        <v>1138</v>
      </c>
    </row>
    <row r="18" spans="1:4" x14ac:dyDescent="0.25">
      <c r="A18" s="9" t="s">
        <v>234</v>
      </c>
      <c r="B18" s="10"/>
      <c r="C18" s="13"/>
      <c r="D18" s="14"/>
    </row>
    <row r="19" spans="1:4" x14ac:dyDescent="0.25">
      <c r="A19" s="9" t="s">
        <v>235</v>
      </c>
      <c r="B19" s="10"/>
      <c r="C19" s="11"/>
      <c r="D19" s="12"/>
    </row>
    <row r="21" spans="1:4" ht="15.75" customHeight="1" x14ac:dyDescent="0.25">
      <c r="A21" s="15" t="s">
        <v>236</v>
      </c>
      <c r="C21" s="71" t="str">
        <f>COUNTA(B5:B19)&amp;" of 15 parameters filled"</f>
        <v>13 of 15 parameters filled</v>
      </c>
      <c r="D21" s="65"/>
    </row>
  </sheetData>
  <mergeCells count="3">
    <mergeCell ref="A1:D1"/>
    <mergeCell ref="A2:D2"/>
    <mergeCell ref="C21:D21"/>
  </mergeCells>
  <hyperlinks>
    <hyperlink ref="A21" location="INDEX!A1" display="&lt;&lt; Back to INDEX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35.42578125" style="1" bestFit="1" customWidth="1"/>
    <col min="3" max="3" width="7.28515625" style="1" bestFit="1" customWidth="1"/>
    <col min="4" max="4" width="85.140625" style="1" bestFit="1" customWidth="1"/>
  </cols>
  <sheetData>
    <row r="1" spans="1:4" ht="15.75" x14ac:dyDescent="0.25">
      <c r="A1" s="67" t="s">
        <v>338</v>
      </c>
      <c r="B1" s="65"/>
      <c r="C1" s="65"/>
      <c r="D1" s="65"/>
    </row>
    <row r="2" spans="1:4" x14ac:dyDescent="0.25">
      <c r="A2" s="64" t="s">
        <v>339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326</v>
      </c>
      <c r="B5" s="10">
        <v>500</v>
      </c>
      <c r="C5" s="11" t="s">
        <v>327</v>
      </c>
      <c r="D5" s="12" t="s">
        <v>1143</v>
      </c>
    </row>
    <row r="6" spans="1:4" x14ac:dyDescent="0.25">
      <c r="A6" s="9" t="s">
        <v>340</v>
      </c>
      <c r="B6" s="10" t="s">
        <v>1139</v>
      </c>
      <c r="C6" s="13" t="s">
        <v>327</v>
      </c>
      <c r="D6" s="14" t="s">
        <v>1144</v>
      </c>
    </row>
    <row r="7" spans="1:4" x14ac:dyDescent="0.25">
      <c r="A7" s="9" t="s">
        <v>341</v>
      </c>
      <c r="B7" s="10" t="s">
        <v>1140</v>
      </c>
      <c r="C7" s="11" t="s">
        <v>206</v>
      </c>
      <c r="D7" s="12" t="s">
        <v>1145</v>
      </c>
    </row>
    <row r="8" spans="1:4" x14ac:dyDescent="0.25">
      <c r="A8" s="9" t="s">
        <v>342</v>
      </c>
      <c r="B8" s="10" t="s">
        <v>1141</v>
      </c>
      <c r="C8" s="13" t="s">
        <v>317</v>
      </c>
      <c r="D8" s="14" t="s">
        <v>1146</v>
      </c>
    </row>
    <row r="9" spans="1:4" x14ac:dyDescent="0.25">
      <c r="A9" s="9" t="s">
        <v>343</v>
      </c>
      <c r="B9" s="10" t="s">
        <v>1142</v>
      </c>
      <c r="C9" s="11" t="s">
        <v>225</v>
      </c>
      <c r="D9" s="12" t="s">
        <v>1147</v>
      </c>
    </row>
    <row r="10" spans="1:4" x14ac:dyDescent="0.25">
      <c r="A10" s="9" t="s">
        <v>344</v>
      </c>
      <c r="B10" s="10">
        <v>480</v>
      </c>
      <c r="C10" s="13" t="s">
        <v>327</v>
      </c>
      <c r="D10" s="14" t="s">
        <v>1148</v>
      </c>
    </row>
    <row r="11" spans="1:4" x14ac:dyDescent="0.25">
      <c r="A11" s="9" t="s">
        <v>345</v>
      </c>
      <c r="B11" s="10">
        <v>2</v>
      </c>
      <c r="C11" s="11" t="s">
        <v>206</v>
      </c>
      <c r="D11" s="12" t="s">
        <v>1149</v>
      </c>
    </row>
    <row r="12" spans="1:4" x14ac:dyDescent="0.25">
      <c r="A12" s="9" t="s">
        <v>346</v>
      </c>
      <c r="B12" s="10"/>
      <c r="C12" s="13"/>
      <c r="D12" s="14"/>
    </row>
    <row r="13" spans="1:4" x14ac:dyDescent="0.25">
      <c r="A13" s="9" t="s">
        <v>235</v>
      </c>
      <c r="B13" s="10"/>
      <c r="C13" s="11"/>
      <c r="D13" s="12"/>
    </row>
    <row r="15" spans="1:4" ht="15.75" customHeight="1" x14ac:dyDescent="0.25">
      <c r="A15" s="1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22.5703125" style="1" bestFit="1" customWidth="1"/>
    <col min="3" max="3" width="5.85546875" style="1" bestFit="1" customWidth="1"/>
    <col min="4" max="4" width="93" style="1" bestFit="1" customWidth="1"/>
  </cols>
  <sheetData>
    <row r="1" spans="1:4" ht="15.75" x14ac:dyDescent="0.25">
      <c r="A1" s="67" t="s">
        <v>347</v>
      </c>
      <c r="B1" s="65"/>
      <c r="C1" s="65"/>
      <c r="D1" s="65"/>
    </row>
    <row r="2" spans="1:4" x14ac:dyDescent="0.25">
      <c r="A2" s="64" t="s">
        <v>348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349</v>
      </c>
      <c r="B5" s="10">
        <v>60</v>
      </c>
      <c r="C5" s="11" t="s">
        <v>350</v>
      </c>
      <c r="D5" s="12" t="s">
        <v>1155</v>
      </c>
    </row>
    <row r="6" spans="1:4" x14ac:dyDescent="0.25">
      <c r="A6" s="9" t="s">
        <v>351</v>
      </c>
      <c r="B6" s="10">
        <v>15</v>
      </c>
      <c r="C6" s="13" t="s">
        <v>352</v>
      </c>
      <c r="D6" s="14" t="s">
        <v>1156</v>
      </c>
    </row>
    <row r="7" spans="1:4" x14ac:dyDescent="0.25">
      <c r="A7" s="9" t="s">
        <v>353</v>
      </c>
      <c r="B7" s="10">
        <v>0.25</v>
      </c>
      <c r="C7" s="11" t="s">
        <v>206</v>
      </c>
      <c r="D7" s="12" t="s">
        <v>1157</v>
      </c>
    </row>
    <row r="8" spans="1:4" x14ac:dyDescent="0.25">
      <c r="A8" s="9" t="s">
        <v>354</v>
      </c>
      <c r="B8" s="10" t="s">
        <v>1150</v>
      </c>
      <c r="C8" s="13" t="s">
        <v>206</v>
      </c>
      <c r="D8" s="14" t="s">
        <v>1158</v>
      </c>
    </row>
    <row r="9" spans="1:4" x14ac:dyDescent="0.25">
      <c r="A9" s="9" t="s">
        <v>355</v>
      </c>
      <c r="B9" s="10" t="s">
        <v>1151</v>
      </c>
      <c r="C9" s="11" t="s">
        <v>206</v>
      </c>
      <c r="D9" s="12" t="s">
        <v>1159</v>
      </c>
    </row>
    <row r="10" spans="1:4" x14ac:dyDescent="0.25">
      <c r="A10" s="9" t="s">
        <v>356</v>
      </c>
      <c r="B10" s="10" t="s">
        <v>1152</v>
      </c>
      <c r="C10" s="13" t="s">
        <v>350</v>
      </c>
      <c r="D10" s="14" t="s">
        <v>1160</v>
      </c>
    </row>
    <row r="11" spans="1:4" x14ac:dyDescent="0.25">
      <c r="A11" s="9" t="s">
        <v>357</v>
      </c>
      <c r="B11" s="10" t="s">
        <v>1153</v>
      </c>
      <c r="C11" s="11" t="s">
        <v>352</v>
      </c>
      <c r="D11" s="12" t="s">
        <v>1161</v>
      </c>
    </row>
    <row r="12" spans="1:4" x14ac:dyDescent="0.25">
      <c r="A12" s="9" t="s">
        <v>358</v>
      </c>
      <c r="B12" s="10">
        <v>12</v>
      </c>
      <c r="C12" s="13" t="s">
        <v>206</v>
      </c>
      <c r="D12" s="14" t="s">
        <v>1162</v>
      </c>
    </row>
    <row r="13" spans="1:4" x14ac:dyDescent="0.25">
      <c r="A13" s="9" t="s">
        <v>359</v>
      </c>
      <c r="B13" s="10" t="s">
        <v>1154</v>
      </c>
      <c r="C13" s="11" t="s">
        <v>206</v>
      </c>
      <c r="D13" s="12" t="s">
        <v>1163</v>
      </c>
    </row>
    <row r="14" spans="1:4" x14ac:dyDescent="0.25">
      <c r="A14" s="9" t="s">
        <v>234</v>
      </c>
      <c r="B14" s="10"/>
      <c r="C14" s="13"/>
      <c r="D14" s="14"/>
    </row>
    <row r="15" spans="1:4" x14ac:dyDescent="0.25">
      <c r="A15" s="9" t="s">
        <v>235</v>
      </c>
      <c r="B15" s="10"/>
      <c r="C15" s="11"/>
      <c r="D15" s="12"/>
    </row>
    <row r="17" spans="1:4" ht="15.75" customHeight="1" x14ac:dyDescent="0.25">
      <c r="A17" s="15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39.5703125" style="1" bestFit="1" customWidth="1"/>
    <col min="3" max="3" width="5.7109375" style="1" bestFit="1" customWidth="1"/>
    <col min="4" max="4" width="90.140625" style="1" bestFit="1" customWidth="1"/>
  </cols>
  <sheetData>
    <row r="1" spans="1:4" ht="15.75" x14ac:dyDescent="0.25">
      <c r="A1" s="67" t="s">
        <v>360</v>
      </c>
      <c r="B1" s="65"/>
      <c r="C1" s="65"/>
      <c r="D1" s="65"/>
    </row>
    <row r="2" spans="1:4" ht="13.5" customHeight="1" x14ac:dyDescent="0.25">
      <c r="A2" s="64" t="s">
        <v>361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362</v>
      </c>
      <c r="B5" s="10">
        <v>200</v>
      </c>
      <c r="C5" s="11" t="s">
        <v>228</v>
      </c>
      <c r="D5" s="12" t="s">
        <v>1167</v>
      </c>
    </row>
    <row r="6" spans="1:4" x14ac:dyDescent="0.25">
      <c r="A6" s="9" t="s">
        <v>363</v>
      </c>
      <c r="B6" s="10">
        <v>350</v>
      </c>
      <c r="C6" s="13" t="s">
        <v>228</v>
      </c>
      <c r="D6" s="14" t="s">
        <v>1168</v>
      </c>
    </row>
    <row r="7" spans="1:4" x14ac:dyDescent="0.25">
      <c r="A7" s="9" t="s">
        <v>364</v>
      </c>
      <c r="B7" s="10">
        <v>5</v>
      </c>
      <c r="C7" s="11" t="s">
        <v>365</v>
      </c>
      <c r="D7" s="12" t="s">
        <v>1169</v>
      </c>
    </row>
    <row r="8" spans="1:4" x14ac:dyDescent="0.25">
      <c r="A8" s="9" t="s">
        <v>366</v>
      </c>
      <c r="B8" s="10" t="s">
        <v>1164</v>
      </c>
      <c r="C8" s="13" t="s">
        <v>206</v>
      </c>
      <c r="D8" s="14" t="s">
        <v>1170</v>
      </c>
    </row>
    <row r="9" spans="1:4" x14ac:dyDescent="0.25">
      <c r="A9" s="9" t="s">
        <v>367</v>
      </c>
      <c r="B9" s="10" t="s">
        <v>1165</v>
      </c>
      <c r="C9" s="11" t="s">
        <v>206</v>
      </c>
      <c r="D9" s="12" t="s">
        <v>1171</v>
      </c>
    </row>
    <row r="10" spans="1:4" x14ac:dyDescent="0.25">
      <c r="A10" s="9" t="s">
        <v>368</v>
      </c>
      <c r="B10" s="10" t="s">
        <v>1165</v>
      </c>
      <c r="C10" s="13" t="s">
        <v>206</v>
      </c>
      <c r="D10" s="14" t="s">
        <v>1172</v>
      </c>
    </row>
    <row r="11" spans="1:4" x14ac:dyDescent="0.25">
      <c r="A11" s="9" t="s">
        <v>369</v>
      </c>
      <c r="B11" s="10" t="s">
        <v>1166</v>
      </c>
      <c r="C11" s="11" t="s">
        <v>206</v>
      </c>
      <c r="D11" s="12" t="s">
        <v>1173</v>
      </c>
    </row>
    <row r="12" spans="1:4" x14ac:dyDescent="0.25">
      <c r="A12" s="9" t="s">
        <v>234</v>
      </c>
      <c r="B12" s="10"/>
      <c r="C12" s="13"/>
      <c r="D12" s="14"/>
    </row>
    <row r="13" spans="1:4" x14ac:dyDescent="0.25">
      <c r="A13" s="9" t="s">
        <v>235</v>
      </c>
      <c r="B13" s="10"/>
      <c r="C13" s="11"/>
      <c r="D13" s="12"/>
    </row>
    <row r="15" spans="1:4" ht="15.75" customHeight="1" x14ac:dyDescent="0.25">
      <c r="A15" s="1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8.42578125" style="1" bestFit="1" customWidth="1"/>
    <col min="3" max="3" width="8.28515625" style="1" bestFit="1" customWidth="1"/>
    <col min="4" max="4" width="69.85546875" style="1" bestFit="1" customWidth="1"/>
  </cols>
  <sheetData>
    <row r="1" spans="1:4" ht="15.75" x14ac:dyDescent="0.25">
      <c r="A1" s="67" t="s">
        <v>370</v>
      </c>
      <c r="B1" s="65"/>
      <c r="C1" s="65"/>
      <c r="D1" s="65"/>
    </row>
    <row r="2" spans="1:4" ht="13.5" customHeight="1" x14ac:dyDescent="0.25">
      <c r="A2" s="64" t="s">
        <v>371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1174</v>
      </c>
      <c r="B5" s="10" t="s">
        <v>1178</v>
      </c>
      <c r="C5" s="11" t="s">
        <v>206</v>
      </c>
      <c r="D5" s="12" t="s">
        <v>1182</v>
      </c>
    </row>
    <row r="6" spans="1:4" x14ac:dyDescent="0.25">
      <c r="A6" s="9" t="s">
        <v>1175</v>
      </c>
      <c r="B6" s="10">
        <v>0.05</v>
      </c>
      <c r="C6" s="13" t="s">
        <v>372</v>
      </c>
      <c r="D6" s="14" t="s">
        <v>1183</v>
      </c>
    </row>
    <row r="7" spans="1:4" x14ac:dyDescent="0.25">
      <c r="A7" s="9" t="s">
        <v>1176</v>
      </c>
      <c r="B7" s="40" t="s">
        <v>1179</v>
      </c>
      <c r="C7" s="11" t="s">
        <v>277</v>
      </c>
      <c r="D7" s="12" t="s">
        <v>1184</v>
      </c>
    </row>
    <row r="8" spans="1:4" x14ac:dyDescent="0.25">
      <c r="A8" s="9" t="s">
        <v>268</v>
      </c>
      <c r="B8" s="10">
        <v>1.1000000000000001</v>
      </c>
      <c r="C8" s="13" t="s">
        <v>257</v>
      </c>
      <c r="D8" s="14" t="s">
        <v>1185</v>
      </c>
    </row>
    <row r="9" spans="1:4" x14ac:dyDescent="0.25">
      <c r="A9" s="9" t="s">
        <v>1177</v>
      </c>
      <c r="B9" s="10" t="s">
        <v>1180</v>
      </c>
      <c r="C9" s="11" t="s">
        <v>206</v>
      </c>
      <c r="D9" s="12" t="s">
        <v>1186</v>
      </c>
    </row>
    <row r="10" spans="1:4" x14ac:dyDescent="0.25">
      <c r="A10" s="9" t="s">
        <v>373</v>
      </c>
      <c r="B10" s="10">
        <v>10</v>
      </c>
      <c r="C10" s="13" t="s">
        <v>374</v>
      </c>
      <c r="D10" s="14" t="s">
        <v>1187</v>
      </c>
    </row>
    <row r="11" spans="1:4" x14ac:dyDescent="0.25">
      <c r="A11" s="9" t="s">
        <v>375</v>
      </c>
      <c r="B11" s="10" t="s">
        <v>1181</v>
      </c>
      <c r="C11" s="11" t="s">
        <v>206</v>
      </c>
      <c r="D11" s="12" t="s">
        <v>1188</v>
      </c>
    </row>
    <row r="12" spans="1:4" x14ac:dyDescent="0.25">
      <c r="A12" s="9" t="s">
        <v>376</v>
      </c>
      <c r="B12" s="10" t="s">
        <v>231</v>
      </c>
      <c r="C12" s="13" t="s">
        <v>232</v>
      </c>
      <c r="D12" s="14" t="s">
        <v>1189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4.28515625" style="1" bestFit="1" customWidth="1"/>
    <col min="3" max="3" width="4.140625" style="1" bestFit="1" customWidth="1"/>
    <col min="4" max="4" width="103.5703125" style="1" bestFit="1" customWidth="1"/>
  </cols>
  <sheetData>
    <row r="1" spans="1:4" ht="15.75" x14ac:dyDescent="0.25">
      <c r="A1" s="67" t="s">
        <v>377</v>
      </c>
      <c r="B1" s="65"/>
      <c r="C1" s="65"/>
      <c r="D1" s="65"/>
    </row>
    <row r="2" spans="1:4" ht="13.5" customHeight="1" x14ac:dyDescent="0.25">
      <c r="A2" s="64" t="s">
        <v>378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379</v>
      </c>
      <c r="B5" s="10" t="s">
        <v>1190</v>
      </c>
      <c r="C5" s="11" t="s">
        <v>206</v>
      </c>
      <c r="D5" s="12" t="s">
        <v>1194</v>
      </c>
    </row>
    <row r="6" spans="1:4" x14ac:dyDescent="0.25">
      <c r="A6" s="9" t="s">
        <v>380</v>
      </c>
      <c r="B6" s="10">
        <v>0.02</v>
      </c>
      <c r="C6" s="13" t="s">
        <v>242</v>
      </c>
      <c r="D6" s="14" t="s">
        <v>1195</v>
      </c>
    </row>
    <row r="7" spans="1:4" x14ac:dyDescent="0.25">
      <c r="A7" s="9" t="s">
        <v>268</v>
      </c>
      <c r="B7" s="10">
        <v>0.55000000000000004</v>
      </c>
      <c r="C7" s="11" t="s">
        <v>257</v>
      </c>
      <c r="D7" s="12" t="s">
        <v>1196</v>
      </c>
    </row>
    <row r="8" spans="1:4" x14ac:dyDescent="0.25">
      <c r="A8" s="9" t="s">
        <v>381</v>
      </c>
      <c r="B8" s="10">
        <v>150</v>
      </c>
      <c r="C8" s="13" t="s">
        <v>228</v>
      </c>
      <c r="D8" s="14" t="s">
        <v>1197</v>
      </c>
    </row>
    <row r="9" spans="1:4" x14ac:dyDescent="0.25">
      <c r="A9" s="9" t="s">
        <v>382</v>
      </c>
      <c r="B9" s="10" t="s">
        <v>1191</v>
      </c>
      <c r="C9" s="11" t="s">
        <v>206</v>
      </c>
      <c r="D9" s="12" t="s">
        <v>1198</v>
      </c>
    </row>
    <row r="10" spans="1:4" x14ac:dyDescent="0.25">
      <c r="A10" s="9" t="s">
        <v>383</v>
      </c>
      <c r="B10" s="10" t="s">
        <v>1192</v>
      </c>
      <c r="C10" s="13" t="s">
        <v>206</v>
      </c>
      <c r="D10" s="14" t="s">
        <v>1199</v>
      </c>
    </row>
    <row r="11" spans="1:4" x14ac:dyDescent="0.25">
      <c r="A11" s="9" t="s">
        <v>384</v>
      </c>
      <c r="B11" s="10">
        <v>4</v>
      </c>
      <c r="C11" s="11" t="s">
        <v>219</v>
      </c>
      <c r="D11" s="12" t="s">
        <v>1200</v>
      </c>
    </row>
    <row r="12" spans="1:4" x14ac:dyDescent="0.25">
      <c r="A12" s="9" t="s">
        <v>385</v>
      </c>
      <c r="B12" s="10" t="s">
        <v>1193</v>
      </c>
      <c r="C12" s="13" t="s">
        <v>206</v>
      </c>
      <c r="D12" s="14" t="s">
        <v>1201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2.28515625" style="1" bestFit="1" customWidth="1"/>
    <col min="3" max="3" width="6.7109375" style="1" bestFit="1" customWidth="1"/>
    <col min="4" max="4" width="59.140625" style="1" bestFit="1" customWidth="1"/>
  </cols>
  <sheetData>
    <row r="1" spans="1:4" ht="15.75" x14ac:dyDescent="0.25">
      <c r="A1" s="67" t="s">
        <v>386</v>
      </c>
      <c r="B1" s="65"/>
      <c r="C1" s="65"/>
      <c r="D1" s="65"/>
    </row>
    <row r="2" spans="1:4" x14ac:dyDescent="0.25">
      <c r="A2" s="64" t="s">
        <v>387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388</v>
      </c>
      <c r="B5" s="10">
        <v>0.5</v>
      </c>
      <c r="C5" s="11" t="s">
        <v>389</v>
      </c>
      <c r="D5" s="12" t="s">
        <v>1207</v>
      </c>
    </row>
    <row r="6" spans="1:4" x14ac:dyDescent="0.25">
      <c r="A6" s="9" t="s">
        <v>324</v>
      </c>
      <c r="B6" s="10">
        <v>200</v>
      </c>
      <c r="C6" s="13" t="s">
        <v>228</v>
      </c>
      <c r="D6" s="14" t="s">
        <v>1208</v>
      </c>
    </row>
    <row r="7" spans="1:4" x14ac:dyDescent="0.25">
      <c r="A7" s="9" t="s">
        <v>216</v>
      </c>
      <c r="B7" s="10" t="s">
        <v>1202</v>
      </c>
      <c r="C7" s="11" t="s">
        <v>206</v>
      </c>
      <c r="D7" s="12" t="s">
        <v>1209</v>
      </c>
    </row>
    <row r="8" spans="1:4" x14ac:dyDescent="0.25">
      <c r="A8" s="9" t="s">
        <v>218</v>
      </c>
      <c r="B8" s="10" t="s">
        <v>1203</v>
      </c>
      <c r="C8" s="13" t="s">
        <v>219</v>
      </c>
      <c r="D8" s="14" t="s">
        <v>1210</v>
      </c>
    </row>
    <row r="9" spans="1:4" x14ac:dyDescent="0.25">
      <c r="A9" s="9" t="s">
        <v>390</v>
      </c>
      <c r="B9" s="10" t="s">
        <v>1204</v>
      </c>
      <c r="C9" s="11" t="s">
        <v>206</v>
      </c>
      <c r="D9" s="12" t="s">
        <v>1211</v>
      </c>
    </row>
    <row r="10" spans="1:4" x14ac:dyDescent="0.25">
      <c r="A10" s="9" t="s">
        <v>391</v>
      </c>
      <c r="B10" s="10" t="s">
        <v>231</v>
      </c>
      <c r="C10" s="13" t="s">
        <v>232</v>
      </c>
      <c r="D10" s="14" t="s">
        <v>1212</v>
      </c>
    </row>
    <row r="11" spans="1:4" x14ac:dyDescent="0.25">
      <c r="A11" s="9" t="s">
        <v>392</v>
      </c>
      <c r="B11" s="10" t="s">
        <v>1205</v>
      </c>
      <c r="C11" s="11" t="s">
        <v>206</v>
      </c>
      <c r="D11" s="12" t="s">
        <v>1213</v>
      </c>
    </row>
    <row r="12" spans="1:4" x14ac:dyDescent="0.25">
      <c r="A12" s="9" t="s">
        <v>393</v>
      </c>
      <c r="B12" s="10" t="s">
        <v>1206</v>
      </c>
      <c r="C12" s="13" t="s">
        <v>206</v>
      </c>
      <c r="D12" s="14" t="s">
        <v>1214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showGridLines="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48.140625" style="1" bestFit="1" customWidth="1"/>
    <col min="3" max="3" width="6.7109375" style="1" bestFit="1" customWidth="1"/>
    <col min="4" max="4" width="80" style="1" bestFit="1" customWidth="1"/>
  </cols>
  <sheetData>
    <row r="1" spans="1:4" ht="15.75" x14ac:dyDescent="0.25">
      <c r="A1" s="67" t="s">
        <v>394</v>
      </c>
      <c r="B1" s="65"/>
      <c r="C1" s="65"/>
      <c r="D1" s="65"/>
    </row>
    <row r="2" spans="1:4" x14ac:dyDescent="0.25">
      <c r="A2" s="64" t="s">
        <v>395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199</v>
      </c>
      <c r="C4" s="2" t="s">
        <v>200</v>
      </c>
      <c r="D4" s="2" t="s">
        <v>201</v>
      </c>
    </row>
    <row r="5" spans="1:4" x14ac:dyDescent="0.25">
      <c r="A5" s="9" t="s">
        <v>396</v>
      </c>
      <c r="B5" s="10" t="s">
        <v>1215</v>
      </c>
      <c r="C5" s="11" t="s">
        <v>206</v>
      </c>
      <c r="D5" s="12" t="s">
        <v>1219</v>
      </c>
    </row>
    <row r="6" spans="1:4" x14ac:dyDescent="0.25">
      <c r="A6" s="9" t="s">
        <v>397</v>
      </c>
      <c r="B6" s="10">
        <v>3</v>
      </c>
      <c r="C6" s="13" t="s">
        <v>352</v>
      </c>
      <c r="D6" s="14" t="s">
        <v>1220</v>
      </c>
    </row>
    <row r="7" spans="1:4" x14ac:dyDescent="0.25">
      <c r="A7" s="9" t="s">
        <v>398</v>
      </c>
      <c r="B7" s="10">
        <v>10</v>
      </c>
      <c r="C7" s="11" t="s">
        <v>399</v>
      </c>
      <c r="D7" s="12" t="s">
        <v>1221</v>
      </c>
    </row>
    <row r="8" spans="1:4" x14ac:dyDescent="0.25">
      <c r="A8" s="9" t="s">
        <v>289</v>
      </c>
      <c r="B8" s="10">
        <v>180</v>
      </c>
      <c r="C8" s="13" t="s">
        <v>228</v>
      </c>
      <c r="D8" s="14" t="s">
        <v>1222</v>
      </c>
    </row>
    <row r="9" spans="1:4" x14ac:dyDescent="0.25">
      <c r="A9" s="9" t="s">
        <v>400</v>
      </c>
      <c r="B9" s="10" t="s">
        <v>1216</v>
      </c>
      <c r="C9" s="11" t="s">
        <v>254</v>
      </c>
      <c r="D9" s="12" t="s">
        <v>1223</v>
      </c>
    </row>
    <row r="10" spans="1:4" x14ac:dyDescent="0.25">
      <c r="A10" s="9" t="s">
        <v>401</v>
      </c>
      <c r="B10" s="10" t="s">
        <v>1217</v>
      </c>
      <c r="C10" s="13" t="s">
        <v>206</v>
      </c>
      <c r="D10" s="14" t="s">
        <v>1224</v>
      </c>
    </row>
    <row r="11" spans="1:4" x14ac:dyDescent="0.25">
      <c r="A11" s="9" t="s">
        <v>402</v>
      </c>
      <c r="B11" s="10" t="s">
        <v>1218</v>
      </c>
      <c r="C11" s="11" t="s">
        <v>403</v>
      </c>
      <c r="D11" s="12" t="s">
        <v>1225</v>
      </c>
    </row>
    <row r="12" spans="1:4" x14ac:dyDescent="0.25">
      <c r="A12" s="9" t="s">
        <v>404</v>
      </c>
      <c r="B12" s="10" t="s">
        <v>231</v>
      </c>
      <c r="C12" s="13" t="s">
        <v>232</v>
      </c>
      <c r="D12" s="14" t="s">
        <v>1226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6"/>
  <sheetViews>
    <sheetView showGridLines="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47.42578125" style="1" bestFit="1" customWidth="1"/>
    <col min="3" max="3" width="6.7109375" style="1" bestFit="1" customWidth="1"/>
    <col min="4" max="4" width="88.42578125" style="1" bestFit="1" customWidth="1"/>
  </cols>
  <sheetData>
    <row r="1" spans="1:4" ht="15.75" x14ac:dyDescent="0.25">
      <c r="A1" s="67" t="s">
        <v>405</v>
      </c>
      <c r="B1" s="65"/>
      <c r="C1" s="65"/>
      <c r="D1" s="65"/>
    </row>
    <row r="2" spans="1:4" x14ac:dyDescent="0.25">
      <c r="A2" s="64" t="s">
        <v>406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407</v>
      </c>
      <c r="B5" s="10" t="s">
        <v>1227</v>
      </c>
      <c r="C5" s="11" t="s">
        <v>206</v>
      </c>
      <c r="D5" s="12" t="s">
        <v>1228</v>
      </c>
    </row>
    <row r="6" spans="1:4" x14ac:dyDescent="0.25">
      <c r="A6" s="9" t="s">
        <v>397</v>
      </c>
      <c r="B6" s="10">
        <v>5</v>
      </c>
      <c r="C6" s="13" t="s">
        <v>352</v>
      </c>
      <c r="D6" s="14" t="s">
        <v>1234</v>
      </c>
    </row>
    <row r="7" spans="1:4" x14ac:dyDescent="0.25">
      <c r="A7" s="9" t="s">
        <v>408</v>
      </c>
      <c r="B7" s="10" t="s">
        <v>1229</v>
      </c>
      <c r="C7" s="11" t="s">
        <v>214</v>
      </c>
      <c r="D7" s="12" t="s">
        <v>1235</v>
      </c>
    </row>
    <row r="8" spans="1:4" x14ac:dyDescent="0.25">
      <c r="A8" s="9" t="s">
        <v>409</v>
      </c>
      <c r="B8" s="10" t="s">
        <v>1230</v>
      </c>
      <c r="C8" s="13" t="s">
        <v>206</v>
      </c>
      <c r="D8" s="14" t="s">
        <v>1236</v>
      </c>
    </row>
    <row r="9" spans="1:4" x14ac:dyDescent="0.25">
      <c r="A9" s="9" t="s">
        <v>410</v>
      </c>
      <c r="B9" s="10" t="s">
        <v>1231</v>
      </c>
      <c r="C9" s="11" t="s">
        <v>411</v>
      </c>
      <c r="D9" s="12" t="s">
        <v>1237</v>
      </c>
    </row>
    <row r="10" spans="1:4" x14ac:dyDescent="0.25">
      <c r="A10" s="9" t="s">
        <v>401</v>
      </c>
      <c r="B10" s="10" t="s">
        <v>1232</v>
      </c>
      <c r="C10" s="13" t="s">
        <v>206</v>
      </c>
      <c r="D10" s="14" t="s">
        <v>1238</v>
      </c>
    </row>
    <row r="11" spans="1:4" x14ac:dyDescent="0.25">
      <c r="A11" s="9" t="s">
        <v>412</v>
      </c>
      <c r="B11" s="10" t="s">
        <v>1233</v>
      </c>
      <c r="C11" s="11" t="s">
        <v>206</v>
      </c>
      <c r="D11" s="12" t="s">
        <v>1239</v>
      </c>
    </row>
    <row r="12" spans="1:4" x14ac:dyDescent="0.25">
      <c r="A12" s="9" t="s">
        <v>413</v>
      </c>
      <c r="B12" s="10" t="s">
        <v>231</v>
      </c>
      <c r="C12" s="13" t="s">
        <v>232</v>
      </c>
      <c r="D12" s="14" t="s">
        <v>1240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6"/>
  <sheetViews>
    <sheetView showGridLines="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1.7109375" style="1" bestFit="1" customWidth="1"/>
    <col min="3" max="3" width="6.7109375" style="1" bestFit="1" customWidth="1"/>
    <col min="4" max="4" width="78.7109375" style="1" bestFit="1" customWidth="1"/>
  </cols>
  <sheetData>
    <row r="1" spans="1:4" ht="15.75" x14ac:dyDescent="0.25">
      <c r="A1" s="67" t="s">
        <v>414</v>
      </c>
      <c r="B1" s="65"/>
      <c r="C1" s="65"/>
      <c r="D1" s="65"/>
    </row>
    <row r="2" spans="1:4" x14ac:dyDescent="0.25">
      <c r="A2" s="64" t="s">
        <v>415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9" t="s">
        <v>416</v>
      </c>
      <c r="B5" s="10" t="s">
        <v>1241</v>
      </c>
      <c r="C5" s="11" t="s">
        <v>206</v>
      </c>
      <c r="D5" s="12" t="s">
        <v>1245</v>
      </c>
    </row>
    <row r="6" spans="1:4" x14ac:dyDescent="0.25">
      <c r="A6" s="9" t="s">
        <v>417</v>
      </c>
      <c r="B6" s="10">
        <v>2</v>
      </c>
      <c r="C6" s="13" t="s">
        <v>389</v>
      </c>
      <c r="D6" s="14" t="s">
        <v>1246</v>
      </c>
    </row>
    <row r="7" spans="1:4" x14ac:dyDescent="0.25">
      <c r="A7" s="9" t="s">
        <v>418</v>
      </c>
      <c r="B7" s="10" t="s">
        <v>1242</v>
      </c>
      <c r="C7" s="11" t="s">
        <v>206</v>
      </c>
      <c r="D7" s="12" t="s">
        <v>1247</v>
      </c>
    </row>
    <row r="8" spans="1:4" x14ac:dyDescent="0.25">
      <c r="A8" s="9" t="s">
        <v>419</v>
      </c>
      <c r="B8" s="10" t="s">
        <v>1243</v>
      </c>
      <c r="C8" s="13" t="s">
        <v>206</v>
      </c>
      <c r="D8" s="14" t="s">
        <v>1248</v>
      </c>
    </row>
    <row r="9" spans="1:4" x14ac:dyDescent="0.25">
      <c r="A9" s="9" t="s">
        <v>404</v>
      </c>
      <c r="B9" s="10" t="s">
        <v>231</v>
      </c>
      <c r="C9" s="11" t="s">
        <v>232</v>
      </c>
      <c r="D9" s="12" t="s">
        <v>1249</v>
      </c>
    </row>
    <row r="10" spans="1:4" x14ac:dyDescent="0.25">
      <c r="A10" s="9" t="s">
        <v>420</v>
      </c>
      <c r="B10" s="10" t="s">
        <v>231</v>
      </c>
      <c r="C10" s="13" t="s">
        <v>232</v>
      </c>
      <c r="D10" s="14" t="s">
        <v>1250</v>
      </c>
    </row>
    <row r="11" spans="1:4" x14ac:dyDescent="0.25">
      <c r="A11" s="9" t="s">
        <v>421</v>
      </c>
      <c r="B11" s="10" t="s">
        <v>1244</v>
      </c>
      <c r="C11" s="11" t="s">
        <v>206</v>
      </c>
      <c r="D11" s="12" t="s">
        <v>1251</v>
      </c>
    </row>
    <row r="12" spans="1:4" x14ac:dyDescent="0.25">
      <c r="A12" s="9" t="s">
        <v>422</v>
      </c>
      <c r="B12" s="10" t="s">
        <v>1218</v>
      </c>
      <c r="C12" s="13" t="s">
        <v>403</v>
      </c>
      <c r="D12" s="14" t="s">
        <v>1252</v>
      </c>
    </row>
    <row r="13" spans="1:4" x14ac:dyDescent="0.25">
      <c r="A13" s="9" t="s">
        <v>234</v>
      </c>
      <c r="B13" s="10"/>
      <c r="C13" s="11"/>
      <c r="D13" s="12"/>
    </row>
    <row r="14" spans="1:4" x14ac:dyDescent="0.25">
      <c r="A14" s="9" t="s">
        <v>235</v>
      </c>
      <c r="B14" s="10"/>
      <c r="C14" s="13"/>
      <c r="D14" s="14"/>
    </row>
    <row r="16" spans="1:4" ht="15.75" customHeight="1" x14ac:dyDescent="0.25">
      <c r="A16" s="1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4"/>
  <sheetViews>
    <sheetView showGridLines="0" zoomScaleNormal="100" workbookViewId="0">
      <selection activeCell="B57" sqref="B57"/>
    </sheetView>
  </sheetViews>
  <sheetFormatPr defaultColWidth="8.7109375" defaultRowHeight="15" x14ac:dyDescent="0.25"/>
  <cols>
    <col min="1" max="1" width="27.7109375" style="1" bestFit="1" customWidth="1"/>
    <col min="2" max="2" width="22" style="1" customWidth="1"/>
    <col min="3" max="3" width="5.85546875" style="1" bestFit="1" customWidth="1"/>
    <col min="4" max="4" width="98.140625" style="1" bestFit="1" customWidth="1"/>
  </cols>
  <sheetData>
    <row r="1" spans="1:4" ht="15.75" x14ac:dyDescent="0.25">
      <c r="A1" s="76" t="s">
        <v>423</v>
      </c>
      <c r="B1" s="65"/>
      <c r="C1" s="65"/>
      <c r="D1" s="65"/>
    </row>
    <row r="2" spans="1:4" x14ac:dyDescent="0.25">
      <c r="A2" s="64" t="s">
        <v>424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425</v>
      </c>
      <c r="B5" s="18">
        <v>900</v>
      </c>
      <c r="C5" s="11" t="s">
        <v>228</v>
      </c>
      <c r="D5" s="12" t="s">
        <v>1255</v>
      </c>
    </row>
    <row r="6" spans="1:4" x14ac:dyDescent="0.25">
      <c r="A6" s="17" t="s">
        <v>426</v>
      </c>
      <c r="B6" s="18">
        <v>880</v>
      </c>
      <c r="C6" s="13" t="s">
        <v>228</v>
      </c>
      <c r="D6" s="14" t="s">
        <v>1256</v>
      </c>
    </row>
    <row r="7" spans="1:4" x14ac:dyDescent="0.25">
      <c r="A7" s="17" t="s">
        <v>335</v>
      </c>
      <c r="B7" s="18" t="s">
        <v>1253</v>
      </c>
      <c r="C7" s="11" t="s">
        <v>206</v>
      </c>
      <c r="D7" s="12" t="s">
        <v>1257</v>
      </c>
    </row>
    <row r="8" spans="1:4" x14ac:dyDescent="0.25">
      <c r="A8" s="17" t="s">
        <v>427</v>
      </c>
      <c r="B8" s="18">
        <v>2</v>
      </c>
      <c r="C8" s="13" t="s">
        <v>206</v>
      </c>
      <c r="D8" s="14" t="s">
        <v>1258</v>
      </c>
    </row>
    <row r="9" spans="1:4" x14ac:dyDescent="0.25">
      <c r="A9" s="17" t="s">
        <v>428</v>
      </c>
      <c r="B9" s="18" t="s">
        <v>1254</v>
      </c>
      <c r="C9" s="11" t="s">
        <v>206</v>
      </c>
      <c r="D9" s="12" t="s">
        <v>1259</v>
      </c>
    </row>
    <row r="10" spans="1:4" x14ac:dyDescent="0.25">
      <c r="A10" s="17" t="s">
        <v>429</v>
      </c>
      <c r="B10" s="18">
        <v>50</v>
      </c>
      <c r="C10" s="13" t="s">
        <v>350</v>
      </c>
      <c r="D10" s="14" t="s">
        <v>1260</v>
      </c>
    </row>
    <row r="11" spans="1:4" x14ac:dyDescent="0.25">
      <c r="A11" s="17" t="s">
        <v>234</v>
      </c>
      <c r="B11" s="18"/>
      <c r="C11" s="11"/>
      <c r="D11" s="12"/>
    </row>
    <row r="12" spans="1:4" x14ac:dyDescent="0.25">
      <c r="A12" s="17" t="s">
        <v>235</v>
      </c>
      <c r="B12" s="18"/>
      <c r="C12" s="13"/>
      <c r="D12" s="14"/>
    </row>
    <row r="14" spans="1:4" ht="15.75" customHeight="1" x14ac:dyDescent="0.25">
      <c r="A14" s="19" t="s">
        <v>236</v>
      </c>
      <c r="C14" s="71" t="str">
        <f>COUNTA(B5:B12)&amp;" of 8 parameters filled"</f>
        <v>6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5.5703125" style="1" bestFit="1" customWidth="1"/>
    <col min="3" max="3" width="7.42578125" style="1" bestFit="1" customWidth="1"/>
    <col min="4" max="4" width="89.85546875" style="1" bestFit="1" customWidth="1"/>
  </cols>
  <sheetData>
    <row r="1" spans="1:4" ht="15.75" x14ac:dyDescent="0.25">
      <c r="A1" s="76" t="s">
        <v>430</v>
      </c>
      <c r="B1" s="65"/>
      <c r="C1" s="65"/>
      <c r="D1" s="65"/>
    </row>
    <row r="2" spans="1:4" x14ac:dyDescent="0.25">
      <c r="A2" s="64" t="s">
        <v>431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432</v>
      </c>
      <c r="B5" s="18">
        <v>20</v>
      </c>
      <c r="C5" s="11" t="s">
        <v>317</v>
      </c>
      <c r="D5" s="12" t="s">
        <v>1263</v>
      </c>
    </row>
    <row r="6" spans="1:4" x14ac:dyDescent="0.25">
      <c r="A6" s="17" t="s">
        <v>433</v>
      </c>
      <c r="B6" s="18">
        <v>15</v>
      </c>
      <c r="C6" s="13" t="s">
        <v>317</v>
      </c>
      <c r="D6" s="14" t="s">
        <v>1264</v>
      </c>
    </row>
    <row r="7" spans="1:4" x14ac:dyDescent="0.25">
      <c r="A7" s="17" t="s">
        <v>434</v>
      </c>
      <c r="B7" s="18" t="s">
        <v>1261</v>
      </c>
      <c r="C7" s="11" t="s">
        <v>317</v>
      </c>
      <c r="D7" s="12" t="s">
        <v>1265</v>
      </c>
    </row>
    <row r="8" spans="1:4" x14ac:dyDescent="0.25">
      <c r="A8" s="17" t="s">
        <v>435</v>
      </c>
      <c r="B8" s="18" t="s">
        <v>1142</v>
      </c>
      <c r="C8" s="13" t="s">
        <v>225</v>
      </c>
      <c r="D8" s="14" t="s">
        <v>1266</v>
      </c>
    </row>
    <row r="9" spans="1:4" x14ac:dyDescent="0.25">
      <c r="A9" s="17" t="s">
        <v>436</v>
      </c>
      <c r="B9" s="18">
        <v>15</v>
      </c>
      <c r="C9" s="11" t="s">
        <v>399</v>
      </c>
      <c r="D9" s="12" t="s">
        <v>1267</v>
      </c>
    </row>
    <row r="10" spans="1:4" x14ac:dyDescent="0.25">
      <c r="A10" s="17" t="s">
        <v>437</v>
      </c>
      <c r="B10" s="18" t="s">
        <v>1262</v>
      </c>
      <c r="C10" s="13" t="s">
        <v>438</v>
      </c>
      <c r="D10" s="14" t="s">
        <v>1268</v>
      </c>
    </row>
    <row r="11" spans="1:4" x14ac:dyDescent="0.25">
      <c r="A11" s="17" t="s">
        <v>439</v>
      </c>
      <c r="B11" s="18">
        <v>20</v>
      </c>
      <c r="C11" s="11" t="s">
        <v>319</v>
      </c>
      <c r="D11" s="12" t="s">
        <v>1269</v>
      </c>
    </row>
    <row r="12" spans="1:4" x14ac:dyDescent="0.25">
      <c r="A12" s="17" t="s">
        <v>234</v>
      </c>
      <c r="B12" s="18"/>
      <c r="C12" s="13"/>
      <c r="D12" s="14"/>
    </row>
    <row r="13" spans="1:4" x14ac:dyDescent="0.25">
      <c r="A13" s="17" t="s">
        <v>235</v>
      </c>
      <c r="B13" s="18"/>
      <c r="C13" s="11"/>
      <c r="D13" s="12"/>
    </row>
    <row r="15" spans="1:4" ht="15.75" customHeight="1" x14ac:dyDescent="0.25">
      <c r="A15" s="19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28.28515625" style="1" bestFit="1" customWidth="1"/>
    <col min="3" max="3" width="5.85546875" style="1" bestFit="1" customWidth="1"/>
    <col min="4" max="4" width="71" style="1" bestFit="1" customWidth="1"/>
  </cols>
  <sheetData>
    <row r="1" spans="1:4" ht="15.75" x14ac:dyDescent="0.25">
      <c r="A1" s="76" t="s">
        <v>440</v>
      </c>
      <c r="B1" s="65"/>
      <c r="C1" s="65"/>
      <c r="D1" s="65"/>
    </row>
    <row r="2" spans="1:4" x14ac:dyDescent="0.25">
      <c r="A2" s="64" t="s">
        <v>441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442</v>
      </c>
      <c r="B5" s="18">
        <v>870</v>
      </c>
      <c r="C5" s="11" t="s">
        <v>228</v>
      </c>
      <c r="D5" s="12" t="s">
        <v>1278</v>
      </c>
    </row>
    <row r="6" spans="1:4" x14ac:dyDescent="0.25">
      <c r="A6" s="17" t="s">
        <v>432</v>
      </c>
      <c r="B6" s="18">
        <v>30</v>
      </c>
      <c r="C6" s="13" t="s">
        <v>317</v>
      </c>
      <c r="D6" s="14" t="s">
        <v>1279</v>
      </c>
    </row>
    <row r="7" spans="1:4" x14ac:dyDescent="0.25">
      <c r="A7" s="17" t="s">
        <v>436</v>
      </c>
      <c r="B7" s="18">
        <v>5</v>
      </c>
      <c r="C7" s="11" t="s">
        <v>399</v>
      </c>
      <c r="D7" s="12" t="s">
        <v>1280</v>
      </c>
    </row>
    <row r="8" spans="1:4" x14ac:dyDescent="0.25">
      <c r="A8" s="17" t="s">
        <v>443</v>
      </c>
      <c r="B8" s="18" t="s">
        <v>1216</v>
      </c>
      <c r="C8" s="13" t="s">
        <v>444</v>
      </c>
      <c r="D8" s="14" t="s">
        <v>1281</v>
      </c>
    </row>
    <row r="9" spans="1:4" x14ac:dyDescent="0.25">
      <c r="A9" s="17" t="s">
        <v>445</v>
      </c>
      <c r="B9" s="18">
        <v>1</v>
      </c>
      <c r="C9" s="11" t="s">
        <v>206</v>
      </c>
      <c r="D9" s="12" t="s">
        <v>1282</v>
      </c>
    </row>
    <row r="10" spans="1:4" x14ac:dyDescent="0.25">
      <c r="A10" s="17" t="s">
        <v>428</v>
      </c>
      <c r="B10" s="18" t="s">
        <v>1254</v>
      </c>
      <c r="C10" s="13" t="s">
        <v>206</v>
      </c>
      <c r="D10" s="14" t="s">
        <v>1283</v>
      </c>
    </row>
    <row r="11" spans="1:4" x14ac:dyDescent="0.25">
      <c r="A11" s="17" t="s">
        <v>429</v>
      </c>
      <c r="B11" s="18">
        <v>50</v>
      </c>
      <c r="C11" s="11" t="s">
        <v>350</v>
      </c>
      <c r="D11" s="12" t="s">
        <v>1284</v>
      </c>
    </row>
    <row r="12" spans="1:4" x14ac:dyDescent="0.25">
      <c r="A12" s="17" t="s">
        <v>446</v>
      </c>
      <c r="B12" s="18">
        <v>2</v>
      </c>
      <c r="C12" s="13" t="s">
        <v>447</v>
      </c>
      <c r="D12" s="14" t="s">
        <v>1285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8.7109375" style="1" bestFit="1" customWidth="1"/>
    <col min="3" max="3" width="4.140625" style="1" bestFit="1" customWidth="1"/>
    <col min="4" max="4" width="88.42578125" style="1" bestFit="1" customWidth="1"/>
  </cols>
  <sheetData>
    <row r="1" spans="1:4" ht="15.75" x14ac:dyDescent="0.25">
      <c r="A1" s="76" t="s">
        <v>448</v>
      </c>
      <c r="B1" s="65"/>
      <c r="C1" s="65"/>
      <c r="D1" s="65"/>
    </row>
    <row r="2" spans="1:4" x14ac:dyDescent="0.25">
      <c r="A2" s="64" t="s">
        <v>449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442</v>
      </c>
      <c r="B5" s="18">
        <v>860</v>
      </c>
      <c r="C5" s="11" t="s">
        <v>228</v>
      </c>
      <c r="D5" s="12" t="s">
        <v>1289</v>
      </c>
    </row>
    <row r="6" spans="1:4" x14ac:dyDescent="0.25">
      <c r="A6" s="17" t="s">
        <v>426</v>
      </c>
      <c r="B6" s="18">
        <v>65</v>
      </c>
      <c r="C6" s="13" t="s">
        <v>228</v>
      </c>
      <c r="D6" s="14" t="s">
        <v>1290</v>
      </c>
    </row>
    <row r="7" spans="1:4" x14ac:dyDescent="0.25">
      <c r="A7" s="17" t="s">
        <v>450</v>
      </c>
      <c r="B7" s="18" t="s">
        <v>1286</v>
      </c>
      <c r="C7" s="11" t="s">
        <v>206</v>
      </c>
      <c r="D7" s="12" t="s">
        <v>1291</v>
      </c>
    </row>
    <row r="8" spans="1:4" x14ac:dyDescent="0.25">
      <c r="A8" s="17" t="s">
        <v>451</v>
      </c>
      <c r="B8" s="18">
        <v>3</v>
      </c>
      <c r="C8" s="13" t="s">
        <v>219</v>
      </c>
      <c r="D8" s="14" t="s">
        <v>1292</v>
      </c>
    </row>
    <row r="9" spans="1:4" x14ac:dyDescent="0.25">
      <c r="A9" s="17" t="s">
        <v>452</v>
      </c>
      <c r="B9" s="18">
        <v>400</v>
      </c>
      <c r="C9" s="11" t="s">
        <v>214</v>
      </c>
      <c r="D9" s="12" t="s">
        <v>1293</v>
      </c>
    </row>
    <row r="10" spans="1:4" x14ac:dyDescent="0.25">
      <c r="A10" s="17" t="s">
        <v>453</v>
      </c>
      <c r="B10" s="18" t="s">
        <v>1287</v>
      </c>
      <c r="C10" s="13" t="s">
        <v>206</v>
      </c>
      <c r="D10" s="14" t="s">
        <v>1294</v>
      </c>
    </row>
    <row r="11" spans="1:4" x14ac:dyDescent="0.25">
      <c r="A11" s="17" t="s">
        <v>454</v>
      </c>
      <c r="B11" s="18">
        <v>6</v>
      </c>
      <c r="C11" s="11" t="s">
        <v>206</v>
      </c>
      <c r="D11" s="12" t="s">
        <v>1295</v>
      </c>
    </row>
    <row r="12" spans="1:4" x14ac:dyDescent="0.25">
      <c r="A12" s="17" t="s">
        <v>335</v>
      </c>
      <c r="B12" s="18" t="s">
        <v>1288</v>
      </c>
      <c r="C12" s="13" t="s">
        <v>206</v>
      </c>
      <c r="D12" s="14" t="s">
        <v>1296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16.7109375" style="1" bestFit="1" customWidth="1"/>
    <col min="3" max="3" width="5.7109375" style="1" bestFit="1" customWidth="1"/>
    <col min="4" max="4" width="109.42578125" style="1" bestFit="1" customWidth="1"/>
  </cols>
  <sheetData>
    <row r="1" spans="1:4" ht="15.75" x14ac:dyDescent="0.25">
      <c r="A1" s="76" t="s">
        <v>455</v>
      </c>
      <c r="B1" s="65"/>
      <c r="C1" s="65"/>
      <c r="D1" s="65"/>
    </row>
    <row r="2" spans="1:4" x14ac:dyDescent="0.25">
      <c r="A2" s="64" t="s">
        <v>456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457</v>
      </c>
      <c r="B5" s="18">
        <v>0.5</v>
      </c>
      <c r="C5" s="11" t="s">
        <v>458</v>
      </c>
      <c r="D5" s="12" t="s">
        <v>1300</v>
      </c>
    </row>
    <row r="6" spans="1:4" x14ac:dyDescent="0.25">
      <c r="A6" s="17" t="s">
        <v>459</v>
      </c>
      <c r="B6" s="18">
        <v>3</v>
      </c>
      <c r="C6" s="13" t="s">
        <v>365</v>
      </c>
      <c r="D6" s="14" t="s">
        <v>1301</v>
      </c>
    </row>
    <row r="7" spans="1:4" x14ac:dyDescent="0.25">
      <c r="A7" s="17" t="s">
        <v>460</v>
      </c>
      <c r="B7" s="18">
        <v>20</v>
      </c>
      <c r="C7" s="11" t="s">
        <v>228</v>
      </c>
      <c r="D7" s="12" t="s">
        <v>1302</v>
      </c>
    </row>
    <row r="8" spans="1:4" x14ac:dyDescent="0.25">
      <c r="A8" s="17" t="s">
        <v>461</v>
      </c>
      <c r="B8" s="18" t="s">
        <v>1297</v>
      </c>
      <c r="C8" s="13" t="s">
        <v>206</v>
      </c>
      <c r="D8" s="14" t="s">
        <v>1303</v>
      </c>
    </row>
    <row r="9" spans="1:4" x14ac:dyDescent="0.25">
      <c r="A9" s="17" t="s">
        <v>462</v>
      </c>
      <c r="B9" s="18" t="s">
        <v>1298</v>
      </c>
      <c r="C9" s="11" t="s">
        <v>458</v>
      </c>
      <c r="D9" s="12" t="s">
        <v>1304</v>
      </c>
    </row>
    <row r="10" spans="1:4" x14ac:dyDescent="0.25">
      <c r="A10" s="17" t="s">
        <v>463</v>
      </c>
      <c r="B10" s="43" t="s">
        <v>1299</v>
      </c>
      <c r="C10" s="13" t="s">
        <v>206</v>
      </c>
      <c r="D10" s="14" t="s">
        <v>1305</v>
      </c>
    </row>
    <row r="11" spans="1:4" x14ac:dyDescent="0.25">
      <c r="A11" s="17" t="s">
        <v>464</v>
      </c>
      <c r="B11" s="18">
        <v>0.05</v>
      </c>
      <c r="C11" s="11" t="s">
        <v>458</v>
      </c>
      <c r="D11" s="12" t="s">
        <v>1306</v>
      </c>
    </row>
    <row r="12" spans="1:4" x14ac:dyDescent="0.25">
      <c r="A12" s="17" t="s">
        <v>234</v>
      </c>
      <c r="B12" s="18"/>
      <c r="C12" s="13"/>
      <c r="D12" s="14"/>
    </row>
    <row r="13" spans="1:4" x14ac:dyDescent="0.25">
      <c r="A13" s="17" t="s">
        <v>235</v>
      </c>
      <c r="B13" s="18"/>
      <c r="C13" s="11"/>
      <c r="D13" s="12"/>
    </row>
    <row r="15" spans="1:4" ht="15.75" customHeight="1" x14ac:dyDescent="0.25">
      <c r="A15" s="19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6.5703125" style="1" bestFit="1" customWidth="1"/>
    <col min="3" max="3" width="5.140625" style="1" bestFit="1" customWidth="1"/>
    <col min="4" max="4" width="87.5703125" style="1" bestFit="1" customWidth="1"/>
  </cols>
  <sheetData>
    <row r="1" spans="1:4" ht="15.75" x14ac:dyDescent="0.25">
      <c r="A1" s="76" t="s">
        <v>1271</v>
      </c>
      <c r="B1" s="65"/>
      <c r="C1" s="65"/>
      <c r="D1" s="65"/>
    </row>
    <row r="2" spans="1:4" x14ac:dyDescent="0.25">
      <c r="A2" s="64" t="s">
        <v>465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466</v>
      </c>
      <c r="B5" s="18" t="s">
        <v>1307</v>
      </c>
      <c r="C5" s="11" t="s">
        <v>206</v>
      </c>
      <c r="D5" s="12" t="s">
        <v>1310</v>
      </c>
    </row>
    <row r="6" spans="1:4" x14ac:dyDescent="0.25">
      <c r="A6" s="17" t="s">
        <v>467</v>
      </c>
      <c r="B6" s="18" t="s">
        <v>1308</v>
      </c>
      <c r="C6" s="13" t="s">
        <v>206</v>
      </c>
      <c r="D6" s="14" t="s">
        <v>1311</v>
      </c>
    </row>
    <row r="7" spans="1:4" x14ac:dyDescent="0.25">
      <c r="A7" s="17" t="s">
        <v>289</v>
      </c>
      <c r="B7" s="18">
        <v>65</v>
      </c>
      <c r="C7" s="11" t="s">
        <v>228</v>
      </c>
      <c r="D7" s="12" t="s">
        <v>1312</v>
      </c>
    </row>
    <row r="8" spans="1:4" x14ac:dyDescent="0.25">
      <c r="A8" s="17" t="s">
        <v>432</v>
      </c>
      <c r="B8" s="18">
        <v>40</v>
      </c>
      <c r="C8" s="13" t="s">
        <v>317</v>
      </c>
      <c r="D8" s="14" t="s">
        <v>1313</v>
      </c>
    </row>
    <row r="9" spans="1:4" x14ac:dyDescent="0.25">
      <c r="A9" s="17" t="s">
        <v>468</v>
      </c>
      <c r="B9" s="18">
        <v>1.5</v>
      </c>
      <c r="C9" s="11" t="s">
        <v>219</v>
      </c>
      <c r="D9" s="12" t="s">
        <v>1314</v>
      </c>
    </row>
    <row r="10" spans="1:4" x14ac:dyDescent="0.25">
      <c r="A10" s="17" t="s">
        <v>469</v>
      </c>
      <c r="B10" s="18">
        <v>350</v>
      </c>
      <c r="C10" s="13" t="s">
        <v>214</v>
      </c>
      <c r="D10" s="14" t="s">
        <v>1315</v>
      </c>
    </row>
    <row r="11" spans="1:4" x14ac:dyDescent="0.25">
      <c r="A11" s="17" t="s">
        <v>470</v>
      </c>
      <c r="B11" s="18" t="s">
        <v>1309</v>
      </c>
      <c r="C11" s="11" t="s">
        <v>206</v>
      </c>
      <c r="D11" s="12" t="s">
        <v>1316</v>
      </c>
    </row>
    <row r="12" spans="1:4" x14ac:dyDescent="0.25">
      <c r="A12" s="17" t="s">
        <v>471</v>
      </c>
      <c r="B12" s="18">
        <v>2160</v>
      </c>
      <c r="C12" s="13" t="s">
        <v>472</v>
      </c>
      <c r="D12" s="14" t="s">
        <v>1317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5"/>
  <sheetViews>
    <sheetView showGridLines="0" topLeftCell="B1" zoomScaleNormal="100" workbookViewId="0">
      <selection activeCell="D8" sqref="D8"/>
    </sheetView>
  </sheetViews>
  <sheetFormatPr defaultColWidth="8.7109375" defaultRowHeight="15" x14ac:dyDescent="0.25"/>
  <cols>
    <col min="1" max="1" width="36" style="1" customWidth="1"/>
    <col min="2" max="2" width="42.7109375" style="1" bestFit="1" customWidth="1"/>
    <col min="3" max="3" width="7.42578125" style="1" bestFit="1" customWidth="1"/>
    <col min="4" max="4" width="99.5703125" style="1" bestFit="1" customWidth="1"/>
  </cols>
  <sheetData>
    <row r="1" spans="1:4" ht="15.75" x14ac:dyDescent="0.25">
      <c r="A1" s="76" t="s">
        <v>473</v>
      </c>
      <c r="B1" s="65"/>
      <c r="C1" s="65"/>
      <c r="D1" s="65"/>
    </row>
    <row r="2" spans="1:4" x14ac:dyDescent="0.25">
      <c r="A2" s="64" t="s">
        <v>474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475</v>
      </c>
      <c r="B5" s="18">
        <v>0.5</v>
      </c>
      <c r="C5" s="11" t="s">
        <v>447</v>
      </c>
      <c r="D5" s="12" t="s">
        <v>1321</v>
      </c>
    </row>
    <row r="6" spans="1:4" x14ac:dyDescent="0.25">
      <c r="A6" s="17" t="s">
        <v>476</v>
      </c>
      <c r="B6" s="18" t="s">
        <v>1318</v>
      </c>
      <c r="C6" s="13" t="s">
        <v>477</v>
      </c>
      <c r="D6" s="14" t="s">
        <v>1322</v>
      </c>
    </row>
    <row r="7" spans="1:4" x14ac:dyDescent="0.25">
      <c r="A7" s="17" t="s">
        <v>478</v>
      </c>
      <c r="B7" s="18" t="s">
        <v>1319</v>
      </c>
      <c r="C7" s="11" t="s">
        <v>206</v>
      </c>
      <c r="D7" s="12" t="s">
        <v>2102</v>
      </c>
    </row>
    <row r="8" spans="1:4" x14ac:dyDescent="0.25">
      <c r="A8" s="17" t="s">
        <v>479</v>
      </c>
      <c r="B8" s="18">
        <v>60</v>
      </c>
      <c r="C8" s="13" t="s">
        <v>228</v>
      </c>
      <c r="D8" s="14" t="s">
        <v>2103</v>
      </c>
    </row>
    <row r="9" spans="1:4" x14ac:dyDescent="0.25">
      <c r="A9" s="17" t="s">
        <v>480</v>
      </c>
      <c r="B9" s="18">
        <v>2</v>
      </c>
      <c r="C9" s="11" t="s">
        <v>481</v>
      </c>
      <c r="D9" s="12" t="s">
        <v>1323</v>
      </c>
    </row>
    <row r="10" spans="1:4" x14ac:dyDescent="0.25">
      <c r="A10" s="17" t="s">
        <v>482</v>
      </c>
      <c r="B10" s="18">
        <v>15</v>
      </c>
      <c r="C10" s="13" t="s">
        <v>317</v>
      </c>
      <c r="D10" s="14" t="s">
        <v>1324</v>
      </c>
    </row>
    <row r="11" spans="1:4" x14ac:dyDescent="0.25">
      <c r="A11" s="17" t="s">
        <v>483</v>
      </c>
      <c r="B11" s="18" t="s">
        <v>1320</v>
      </c>
      <c r="C11" s="11" t="s">
        <v>206</v>
      </c>
      <c r="D11" s="12" t="s">
        <v>1325</v>
      </c>
    </row>
    <row r="12" spans="1:4" x14ac:dyDescent="0.25">
      <c r="A12" s="17" t="s">
        <v>234</v>
      </c>
      <c r="B12" s="18"/>
      <c r="C12" s="13"/>
      <c r="D12" s="14"/>
    </row>
    <row r="13" spans="1:4" x14ac:dyDescent="0.25">
      <c r="A13" s="17" t="s">
        <v>235</v>
      </c>
      <c r="B13" s="18"/>
      <c r="C13" s="11"/>
      <c r="D13" s="12"/>
    </row>
    <row r="15" spans="1:4" ht="15.75" customHeight="1" x14ac:dyDescent="0.25">
      <c r="A15" s="19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1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8"/>
  <sheetViews>
    <sheetView showGridLines="0" zoomScaleNormal="100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35.5703125" style="1" bestFit="1" customWidth="1"/>
    <col min="3" max="3" width="5.85546875" style="1" bestFit="1" customWidth="1"/>
    <col min="4" max="4" width="81" style="1" bestFit="1" customWidth="1"/>
  </cols>
  <sheetData>
    <row r="1" spans="1:4" ht="15.75" x14ac:dyDescent="0.25">
      <c r="A1" s="76" t="s">
        <v>1272</v>
      </c>
      <c r="B1" s="65"/>
      <c r="C1" s="65"/>
      <c r="D1" s="65"/>
    </row>
    <row r="2" spans="1:4" x14ac:dyDescent="0.25">
      <c r="A2" s="64" t="s">
        <v>484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485</v>
      </c>
      <c r="B5" s="18">
        <v>200</v>
      </c>
      <c r="C5" s="11" t="s">
        <v>486</v>
      </c>
      <c r="D5" s="12" t="s">
        <v>1331</v>
      </c>
    </row>
    <row r="6" spans="1:4" x14ac:dyDescent="0.25">
      <c r="A6" s="17" t="s">
        <v>487</v>
      </c>
      <c r="B6" s="18" t="s">
        <v>1218</v>
      </c>
      <c r="C6" s="13" t="s">
        <v>486</v>
      </c>
      <c r="D6" s="14" t="s">
        <v>1332</v>
      </c>
    </row>
    <row r="7" spans="1:4" x14ac:dyDescent="0.25">
      <c r="A7" s="17" t="s">
        <v>252</v>
      </c>
      <c r="B7" s="18" t="s">
        <v>1326</v>
      </c>
      <c r="C7" s="11" t="s">
        <v>444</v>
      </c>
      <c r="D7" s="12" t="s">
        <v>1333</v>
      </c>
    </row>
    <row r="8" spans="1:4" x14ac:dyDescent="0.25">
      <c r="A8" s="17" t="s">
        <v>478</v>
      </c>
      <c r="B8" s="18" t="s">
        <v>1327</v>
      </c>
      <c r="C8" s="13" t="s">
        <v>206</v>
      </c>
      <c r="D8" s="14" t="s">
        <v>1334</v>
      </c>
    </row>
    <row r="9" spans="1:4" x14ac:dyDescent="0.25">
      <c r="A9" s="17" t="s">
        <v>480</v>
      </c>
      <c r="B9" s="18">
        <v>3</v>
      </c>
      <c r="C9" s="11" t="s">
        <v>481</v>
      </c>
      <c r="D9" s="12" t="s">
        <v>1335</v>
      </c>
    </row>
    <row r="10" spans="1:4" x14ac:dyDescent="0.25">
      <c r="A10" s="17" t="s">
        <v>488</v>
      </c>
      <c r="B10" s="18">
        <v>2</v>
      </c>
      <c r="C10" s="13" t="s">
        <v>219</v>
      </c>
      <c r="D10" s="14" t="s">
        <v>1336</v>
      </c>
    </row>
    <row r="11" spans="1:4" x14ac:dyDescent="0.25">
      <c r="A11" s="17" t="s">
        <v>489</v>
      </c>
      <c r="B11" s="18">
        <v>300</v>
      </c>
      <c r="C11" s="11" t="s">
        <v>214</v>
      </c>
      <c r="D11" s="12" t="s">
        <v>1337</v>
      </c>
    </row>
    <row r="12" spans="1:4" x14ac:dyDescent="0.25">
      <c r="A12" s="17" t="s">
        <v>490</v>
      </c>
      <c r="B12" s="18" t="s">
        <v>1328</v>
      </c>
      <c r="C12" s="13" t="s">
        <v>206</v>
      </c>
      <c r="D12" s="14" t="s">
        <v>1338</v>
      </c>
    </row>
    <row r="13" spans="1:4" x14ac:dyDescent="0.25">
      <c r="A13" s="17" t="s">
        <v>491</v>
      </c>
      <c r="B13" s="18" t="s">
        <v>1329</v>
      </c>
      <c r="C13" s="11" t="s">
        <v>206</v>
      </c>
      <c r="D13" s="12" t="s">
        <v>1339</v>
      </c>
    </row>
    <row r="14" spans="1:4" x14ac:dyDescent="0.25">
      <c r="A14" s="17" t="s">
        <v>492</v>
      </c>
      <c r="B14" s="18" t="s">
        <v>1330</v>
      </c>
      <c r="C14" s="13" t="s">
        <v>206</v>
      </c>
      <c r="D14" s="14" t="s">
        <v>1340</v>
      </c>
    </row>
    <row r="15" spans="1:4" x14ac:dyDescent="0.25">
      <c r="A15" s="17" t="s">
        <v>234</v>
      </c>
      <c r="B15" s="18"/>
      <c r="C15" s="11"/>
      <c r="D15" s="12"/>
    </row>
    <row r="16" spans="1:4" x14ac:dyDescent="0.25">
      <c r="A16" s="17" t="s">
        <v>235</v>
      </c>
      <c r="B16" s="18"/>
      <c r="C16" s="13"/>
      <c r="D16" s="14"/>
    </row>
    <row r="18" spans="1:4" ht="15.75" customHeight="1" x14ac:dyDescent="0.25">
      <c r="A18" s="19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1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5"/>
  <sheetViews>
    <sheetView showGridLines="0" zoomScaleNormal="100" workbookViewId="0">
      <selection activeCell="D6" sqref="D6"/>
    </sheetView>
  </sheetViews>
  <sheetFormatPr defaultColWidth="8.7109375" defaultRowHeight="15" x14ac:dyDescent="0.25"/>
  <cols>
    <col min="1" max="1" width="36" style="1" customWidth="1"/>
    <col min="2" max="2" width="28.7109375" style="1" bestFit="1" customWidth="1"/>
    <col min="3" max="3" width="6.7109375" style="1" bestFit="1" customWidth="1"/>
    <col min="4" max="4" width="89.140625" style="1" bestFit="1" customWidth="1"/>
  </cols>
  <sheetData>
    <row r="1" spans="1:5" ht="15.75" x14ac:dyDescent="0.25">
      <c r="A1" s="76" t="s">
        <v>1273</v>
      </c>
      <c r="B1" s="65"/>
      <c r="C1" s="65"/>
      <c r="D1" s="65"/>
      <c r="E1" s="33"/>
    </row>
    <row r="2" spans="1:5" x14ac:dyDescent="0.25">
      <c r="A2" s="64" t="s">
        <v>493</v>
      </c>
      <c r="B2" s="65"/>
      <c r="C2" s="65"/>
      <c r="D2" s="65"/>
      <c r="E2" s="33"/>
    </row>
    <row r="3" spans="1:5" ht="6" customHeight="1" x14ac:dyDescent="0.25">
      <c r="A3" s="33"/>
      <c r="B3" s="33"/>
      <c r="C3" s="33"/>
      <c r="D3" s="33"/>
      <c r="E3" s="33"/>
    </row>
    <row r="4" spans="1:5" x14ac:dyDescent="0.25">
      <c r="A4" s="2" t="s">
        <v>198</v>
      </c>
      <c r="B4" s="2" t="s">
        <v>1078</v>
      </c>
      <c r="C4" s="2" t="s">
        <v>200</v>
      </c>
      <c r="D4" s="2" t="s">
        <v>201</v>
      </c>
      <c r="E4" s="33"/>
    </row>
    <row r="5" spans="1:5" x14ac:dyDescent="0.25">
      <c r="A5" s="17" t="s">
        <v>494</v>
      </c>
      <c r="B5" s="18" t="s">
        <v>1341</v>
      </c>
      <c r="C5" s="11" t="s">
        <v>206</v>
      </c>
      <c r="D5" s="12" t="s">
        <v>1345</v>
      </c>
      <c r="E5" s="33"/>
    </row>
    <row r="6" spans="1:5" x14ac:dyDescent="0.25">
      <c r="A6" s="17" t="s">
        <v>495</v>
      </c>
      <c r="B6" s="18" t="s">
        <v>1342</v>
      </c>
      <c r="C6" s="34" t="s">
        <v>206</v>
      </c>
      <c r="D6" s="14" t="s">
        <v>2105</v>
      </c>
      <c r="E6" s="33"/>
    </row>
    <row r="7" spans="1:5" x14ac:dyDescent="0.25">
      <c r="A7" s="17" t="s">
        <v>496</v>
      </c>
      <c r="B7" s="18">
        <v>50</v>
      </c>
      <c r="C7" s="11" t="s">
        <v>1270</v>
      </c>
      <c r="D7" s="12" t="s">
        <v>1346</v>
      </c>
      <c r="E7" s="33"/>
    </row>
    <row r="8" spans="1:5" x14ac:dyDescent="0.25">
      <c r="A8" s="17" t="s">
        <v>497</v>
      </c>
      <c r="B8" s="18">
        <v>150</v>
      </c>
      <c r="C8" s="34" t="s">
        <v>486</v>
      </c>
      <c r="D8" s="14" t="s">
        <v>1347</v>
      </c>
      <c r="E8" s="33"/>
    </row>
    <row r="9" spans="1:5" x14ac:dyDescent="0.25">
      <c r="A9" s="17" t="s">
        <v>498</v>
      </c>
      <c r="B9" s="18" t="s">
        <v>1343</v>
      </c>
      <c r="C9" s="11" t="s">
        <v>486</v>
      </c>
      <c r="D9" s="12" t="s">
        <v>1348</v>
      </c>
      <c r="E9" s="33"/>
    </row>
    <row r="10" spans="1:5" x14ac:dyDescent="0.25">
      <c r="A10" s="17" t="s">
        <v>252</v>
      </c>
      <c r="B10" s="18" t="s">
        <v>1344</v>
      </c>
      <c r="C10" s="34" t="s">
        <v>254</v>
      </c>
      <c r="D10" s="14" t="s">
        <v>1349</v>
      </c>
      <c r="E10" s="33"/>
    </row>
    <row r="11" spans="1:5" x14ac:dyDescent="0.25">
      <c r="A11" s="17" t="s">
        <v>289</v>
      </c>
      <c r="B11" s="18">
        <v>55</v>
      </c>
      <c r="C11" s="11" t="s">
        <v>228</v>
      </c>
      <c r="D11" s="12" t="s">
        <v>1350</v>
      </c>
      <c r="E11" s="33"/>
    </row>
    <row r="12" spans="1:5" x14ac:dyDescent="0.25">
      <c r="A12" s="17" t="s">
        <v>480</v>
      </c>
      <c r="B12" s="18">
        <v>2.5</v>
      </c>
      <c r="C12" s="34" t="s">
        <v>499</v>
      </c>
      <c r="D12" s="14" t="s">
        <v>2104</v>
      </c>
      <c r="E12" s="33"/>
    </row>
    <row r="13" spans="1:5" x14ac:dyDescent="0.25">
      <c r="A13" s="17" t="s">
        <v>234</v>
      </c>
      <c r="B13" s="18"/>
      <c r="C13" s="11"/>
      <c r="D13" s="12"/>
      <c r="E13" s="33"/>
    </row>
    <row r="14" spans="1:5" x14ac:dyDescent="0.25">
      <c r="A14" s="17" t="s">
        <v>235</v>
      </c>
      <c r="B14" s="18"/>
      <c r="C14" s="34"/>
      <c r="D14" s="14"/>
      <c r="E14" s="33"/>
    </row>
    <row r="15" spans="1:5" x14ac:dyDescent="0.25">
      <c r="A15" s="33"/>
      <c r="B15" s="33"/>
      <c r="C15" s="33"/>
      <c r="D15" s="33"/>
      <c r="E15" s="33"/>
    </row>
    <row r="16" spans="1:5" x14ac:dyDescent="0.25">
      <c r="A16" s="19" t="s">
        <v>236</v>
      </c>
      <c r="B16" s="33"/>
      <c r="C16" s="71" t="str">
        <f>COUNTA(B5:B14)&amp;" of 12 parameters filled"</f>
        <v>8 of 12 parameters filled</v>
      </c>
      <c r="D16" s="65"/>
      <c r="E16" s="33"/>
    </row>
    <row r="17" spans="1:5" x14ac:dyDescent="0.25">
      <c r="A17" s="33"/>
      <c r="B17" s="33"/>
      <c r="C17" s="33"/>
      <c r="D17" s="33"/>
      <c r="E17" s="33"/>
    </row>
    <row r="18" spans="1:5" x14ac:dyDescent="0.25">
      <c r="A18" s="33"/>
      <c r="B18" s="33"/>
      <c r="C18" s="33"/>
      <c r="D18" s="33"/>
      <c r="E18" s="33"/>
    </row>
    <row r="21" spans="1:5" x14ac:dyDescent="0.25">
      <c r="A21" s="33"/>
      <c r="B21" s="33"/>
      <c r="C21" s="33"/>
      <c r="D21" s="33"/>
      <c r="E21" s="33"/>
    </row>
    <row r="22" spans="1:5" x14ac:dyDescent="0.25">
      <c r="A22" s="33"/>
      <c r="B22" s="33"/>
      <c r="C22" s="33"/>
      <c r="D22" s="33"/>
      <c r="E22" s="33"/>
    </row>
    <row r="23" spans="1:5" x14ac:dyDescent="0.25">
      <c r="A23" s="33"/>
      <c r="B23" s="33"/>
      <c r="C23" s="33"/>
      <c r="D23" s="33"/>
      <c r="E23" s="33"/>
    </row>
    <row r="24" spans="1:5" x14ac:dyDescent="0.25">
      <c r="A24" s="33"/>
      <c r="B24" s="33"/>
      <c r="C24" s="33"/>
      <c r="D24" s="33"/>
      <c r="E24" s="33"/>
    </row>
    <row r="25" spans="1:5" x14ac:dyDescent="0.25">
      <c r="A25" s="33"/>
      <c r="B25" s="33"/>
      <c r="C25" s="33"/>
      <c r="D25" s="33"/>
      <c r="E25" s="33"/>
    </row>
  </sheetData>
  <mergeCells count="3">
    <mergeCell ref="C16:D16"/>
    <mergeCell ref="A1:D1"/>
    <mergeCell ref="A2:D2"/>
  </mergeCells>
  <hyperlinks>
    <hyperlink ref="A16" location="INDEX!A1" display="&lt;&lt; Back to INDEX" xr:uid="{99945AAE-CCA2-4EFF-817D-897A49FEB07C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37" style="1" bestFit="1" customWidth="1"/>
    <col min="3" max="3" width="7.42578125" style="1" bestFit="1" customWidth="1"/>
    <col min="4" max="4" width="86.140625" style="1" bestFit="1" customWidth="1"/>
  </cols>
  <sheetData>
    <row r="1" spans="1:4" ht="15.75" x14ac:dyDescent="0.25">
      <c r="A1" s="76" t="s">
        <v>500</v>
      </c>
      <c r="B1" s="65"/>
      <c r="C1" s="65"/>
      <c r="D1" s="65"/>
    </row>
    <row r="2" spans="1:4" x14ac:dyDescent="0.25">
      <c r="A2" s="64" t="s">
        <v>501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502</v>
      </c>
      <c r="B5" s="18">
        <v>300</v>
      </c>
      <c r="C5" s="11" t="s">
        <v>477</v>
      </c>
      <c r="D5" s="12" t="s">
        <v>1354</v>
      </c>
    </row>
    <row r="6" spans="1:4" x14ac:dyDescent="0.25">
      <c r="A6" s="17" t="s">
        <v>503</v>
      </c>
      <c r="B6" s="18" t="s">
        <v>1343</v>
      </c>
      <c r="C6" s="13" t="s">
        <v>477</v>
      </c>
      <c r="D6" s="14" t="s">
        <v>1355</v>
      </c>
    </row>
    <row r="7" spans="1:4" x14ac:dyDescent="0.25">
      <c r="A7" s="17" t="s">
        <v>504</v>
      </c>
      <c r="B7" s="18">
        <v>2</v>
      </c>
      <c r="C7" s="11" t="s">
        <v>372</v>
      </c>
      <c r="D7" s="12" t="s">
        <v>1356</v>
      </c>
    </row>
    <row r="8" spans="1:4" x14ac:dyDescent="0.25">
      <c r="A8" s="17" t="s">
        <v>505</v>
      </c>
      <c r="B8" s="18">
        <v>4</v>
      </c>
      <c r="C8" s="13" t="s">
        <v>206</v>
      </c>
      <c r="D8" s="14" t="s">
        <v>1357</v>
      </c>
    </row>
    <row r="9" spans="1:4" x14ac:dyDescent="0.25">
      <c r="A9" s="17" t="s">
        <v>506</v>
      </c>
      <c r="B9" s="18" t="s">
        <v>1351</v>
      </c>
      <c r="C9" s="11" t="s">
        <v>206</v>
      </c>
      <c r="D9" s="12" t="s">
        <v>1358</v>
      </c>
    </row>
    <row r="10" spans="1:4" x14ac:dyDescent="0.25">
      <c r="A10" s="17" t="s">
        <v>289</v>
      </c>
      <c r="B10" s="18">
        <v>50</v>
      </c>
      <c r="C10" s="13" t="s">
        <v>228</v>
      </c>
      <c r="D10" s="14" t="s">
        <v>1359</v>
      </c>
    </row>
    <row r="11" spans="1:4" x14ac:dyDescent="0.25">
      <c r="A11" s="17" t="s">
        <v>507</v>
      </c>
      <c r="B11" s="18">
        <v>80</v>
      </c>
      <c r="C11" s="11" t="s">
        <v>228</v>
      </c>
      <c r="D11" s="12" t="s">
        <v>1360</v>
      </c>
    </row>
    <row r="12" spans="1:4" x14ac:dyDescent="0.25">
      <c r="A12" s="17" t="s">
        <v>508</v>
      </c>
      <c r="B12" s="18" t="s">
        <v>1352</v>
      </c>
      <c r="C12" s="13" t="s">
        <v>206</v>
      </c>
      <c r="D12" s="14" t="s">
        <v>1361</v>
      </c>
    </row>
    <row r="13" spans="1:4" x14ac:dyDescent="0.25">
      <c r="A13" s="17" t="s">
        <v>509</v>
      </c>
      <c r="B13" s="18" t="s">
        <v>1353</v>
      </c>
      <c r="C13" s="11" t="s">
        <v>206</v>
      </c>
      <c r="D13" s="12" t="s">
        <v>1362</v>
      </c>
    </row>
    <row r="14" spans="1:4" x14ac:dyDescent="0.25">
      <c r="A14" s="17" t="s">
        <v>234</v>
      </c>
      <c r="B14" s="18"/>
      <c r="C14" s="13"/>
      <c r="D14" s="14"/>
    </row>
    <row r="15" spans="1:4" x14ac:dyDescent="0.25">
      <c r="A15" s="17" t="s">
        <v>235</v>
      </c>
      <c r="B15" s="18"/>
      <c r="C15" s="11"/>
      <c r="D15" s="12"/>
    </row>
    <row r="17" spans="1:4" ht="15.75" customHeight="1" x14ac:dyDescent="0.25">
      <c r="A17" s="19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1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36" style="1" customWidth="1"/>
    <col min="2" max="2" width="5.5703125" style="1" bestFit="1" customWidth="1"/>
    <col min="3" max="3" width="5.85546875" style="1" bestFit="1" customWidth="1"/>
    <col min="4" max="4" width="86.7109375" style="1" bestFit="1" customWidth="1"/>
  </cols>
  <sheetData>
    <row r="1" spans="1:4" ht="15.75" x14ac:dyDescent="0.25">
      <c r="A1" s="76" t="s">
        <v>510</v>
      </c>
      <c r="B1" s="65"/>
      <c r="C1" s="65"/>
      <c r="D1" s="65"/>
    </row>
    <row r="2" spans="1:4" x14ac:dyDescent="0.25">
      <c r="A2" s="64" t="s">
        <v>511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512</v>
      </c>
      <c r="B5" s="18">
        <v>5</v>
      </c>
      <c r="C5" s="11" t="s">
        <v>317</v>
      </c>
      <c r="D5" s="12" t="s">
        <v>1363</v>
      </c>
    </row>
    <row r="6" spans="1:4" x14ac:dyDescent="0.25">
      <c r="A6" s="17" t="s">
        <v>513</v>
      </c>
      <c r="B6" s="18">
        <v>20</v>
      </c>
      <c r="C6" s="13" t="s">
        <v>317</v>
      </c>
      <c r="D6" s="14" t="s">
        <v>1364</v>
      </c>
    </row>
    <row r="7" spans="1:4" x14ac:dyDescent="0.25">
      <c r="A7" s="17" t="s">
        <v>434</v>
      </c>
      <c r="B7" s="18" t="s">
        <v>1261</v>
      </c>
      <c r="C7" s="11" t="s">
        <v>317</v>
      </c>
      <c r="D7" s="12" t="s">
        <v>1365</v>
      </c>
    </row>
    <row r="8" spans="1:4" x14ac:dyDescent="0.25">
      <c r="A8" s="17" t="s">
        <v>514</v>
      </c>
      <c r="B8" s="18">
        <v>15</v>
      </c>
      <c r="C8" s="13" t="s">
        <v>317</v>
      </c>
      <c r="D8" s="14" t="s">
        <v>1366</v>
      </c>
    </row>
    <row r="9" spans="1:4" x14ac:dyDescent="0.25">
      <c r="A9" s="17" t="s">
        <v>515</v>
      </c>
      <c r="B9" s="18">
        <v>6</v>
      </c>
      <c r="C9" s="11" t="s">
        <v>365</v>
      </c>
      <c r="D9" s="12" t="s">
        <v>1367</v>
      </c>
    </row>
    <row r="10" spans="1:4" x14ac:dyDescent="0.25">
      <c r="A10" s="17" t="s">
        <v>516</v>
      </c>
      <c r="B10" s="18">
        <v>2</v>
      </c>
      <c r="C10" s="13" t="s">
        <v>350</v>
      </c>
      <c r="D10" s="14" t="s">
        <v>1368</v>
      </c>
    </row>
    <row r="11" spans="1:4" x14ac:dyDescent="0.25">
      <c r="A11" s="17" t="s">
        <v>234</v>
      </c>
      <c r="B11" s="18"/>
      <c r="C11" s="11"/>
      <c r="D11" s="12"/>
    </row>
    <row r="12" spans="1:4" x14ac:dyDescent="0.25">
      <c r="A12" s="17" t="s">
        <v>235</v>
      </c>
      <c r="B12" s="18"/>
      <c r="C12" s="13"/>
      <c r="D12" s="14"/>
    </row>
    <row r="14" spans="1:4" ht="15.75" customHeight="1" x14ac:dyDescent="0.25">
      <c r="A14" s="19" t="s">
        <v>236</v>
      </c>
      <c r="C14" s="71" t="str">
        <f>COUNTA(B5:B12)&amp;" of 8 parameters filled"</f>
        <v>6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1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6"/>
  <sheetViews>
    <sheetView showGridLines="0" zoomScaleNormal="100" workbookViewId="0">
      <selection activeCell="D9" sqref="D9"/>
    </sheetView>
  </sheetViews>
  <sheetFormatPr defaultColWidth="8.7109375" defaultRowHeight="15" x14ac:dyDescent="0.25"/>
  <cols>
    <col min="1" max="1" width="36" style="1" customWidth="1"/>
    <col min="2" max="2" width="66" style="1" bestFit="1" customWidth="1"/>
    <col min="3" max="3" width="9.28515625" style="1" bestFit="1" customWidth="1"/>
    <col min="4" max="4" width="78.42578125" style="1" bestFit="1" customWidth="1"/>
  </cols>
  <sheetData>
    <row r="1" spans="1:4" ht="15.75" x14ac:dyDescent="0.25">
      <c r="A1" s="76" t="s">
        <v>1274</v>
      </c>
      <c r="B1" s="65"/>
      <c r="C1" s="65"/>
      <c r="D1" s="65"/>
    </row>
    <row r="2" spans="1:4" x14ac:dyDescent="0.25">
      <c r="A2" s="64" t="s">
        <v>517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518</v>
      </c>
      <c r="B5" s="18" t="s">
        <v>1369</v>
      </c>
      <c r="C5" s="11" t="s">
        <v>519</v>
      </c>
      <c r="D5" s="12" t="s">
        <v>1373</v>
      </c>
    </row>
    <row r="6" spans="1:4" x14ac:dyDescent="0.25">
      <c r="A6" s="17" t="s">
        <v>520</v>
      </c>
      <c r="B6" s="18">
        <v>50</v>
      </c>
      <c r="C6" s="13" t="s">
        <v>319</v>
      </c>
      <c r="D6" s="14" t="s">
        <v>1374</v>
      </c>
    </row>
    <row r="7" spans="1:4" x14ac:dyDescent="0.25">
      <c r="A7" s="17" t="s">
        <v>521</v>
      </c>
      <c r="B7" s="18" t="s">
        <v>1370</v>
      </c>
      <c r="C7" s="11" t="s">
        <v>206</v>
      </c>
      <c r="D7" s="12" t="s">
        <v>1375</v>
      </c>
    </row>
    <row r="8" spans="1:4" x14ac:dyDescent="0.25">
      <c r="A8" s="17" t="s">
        <v>289</v>
      </c>
      <c r="B8" s="18">
        <v>45</v>
      </c>
      <c r="C8" s="13" t="s">
        <v>228</v>
      </c>
      <c r="D8" s="14" t="s">
        <v>1376</v>
      </c>
    </row>
    <row r="9" spans="1:4" x14ac:dyDescent="0.25">
      <c r="A9" s="17" t="s">
        <v>432</v>
      </c>
      <c r="B9" s="18">
        <v>15</v>
      </c>
      <c r="C9" s="11" t="s">
        <v>317</v>
      </c>
      <c r="D9" s="12" t="s">
        <v>2107</v>
      </c>
    </row>
    <row r="10" spans="1:4" x14ac:dyDescent="0.25">
      <c r="A10" s="17" t="s">
        <v>522</v>
      </c>
      <c r="B10" s="18" t="s">
        <v>1371</v>
      </c>
      <c r="C10" s="13" t="s">
        <v>206</v>
      </c>
      <c r="D10" s="14" t="s">
        <v>1377</v>
      </c>
    </row>
    <row r="11" spans="1:4" x14ac:dyDescent="0.25">
      <c r="A11" s="17" t="s">
        <v>523</v>
      </c>
      <c r="B11" s="18">
        <v>6</v>
      </c>
      <c r="C11" s="11" t="s">
        <v>302</v>
      </c>
      <c r="D11" s="12" t="s">
        <v>2106</v>
      </c>
    </row>
    <row r="12" spans="1:4" x14ac:dyDescent="0.25">
      <c r="A12" s="17" t="s">
        <v>524</v>
      </c>
      <c r="B12" s="18" t="s">
        <v>1372</v>
      </c>
      <c r="C12" s="13" t="s">
        <v>206</v>
      </c>
      <c r="D12" s="14" t="s">
        <v>1378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21.5703125" style="1" bestFit="1" customWidth="1"/>
    <col min="3" max="3" width="6.7109375" style="1" bestFit="1" customWidth="1"/>
    <col min="4" max="4" width="117.140625" style="1" bestFit="1" customWidth="1"/>
  </cols>
  <sheetData>
    <row r="1" spans="1:4" ht="15.75" x14ac:dyDescent="0.25">
      <c r="A1" s="76" t="s">
        <v>1275</v>
      </c>
      <c r="B1" s="65"/>
      <c r="C1" s="65"/>
      <c r="D1" s="65"/>
    </row>
    <row r="2" spans="1:4" x14ac:dyDescent="0.25">
      <c r="A2" s="64" t="s">
        <v>525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429</v>
      </c>
      <c r="B5" s="18">
        <v>50</v>
      </c>
      <c r="C5" s="11" t="s">
        <v>350</v>
      </c>
      <c r="D5" s="12" t="s">
        <v>1380</v>
      </c>
    </row>
    <row r="6" spans="1:4" x14ac:dyDescent="0.25">
      <c r="A6" s="17" t="s">
        <v>526</v>
      </c>
      <c r="B6" s="18">
        <v>35</v>
      </c>
      <c r="C6" s="13" t="s">
        <v>350</v>
      </c>
      <c r="D6" s="14" t="s">
        <v>1381</v>
      </c>
    </row>
    <row r="7" spans="1:4" x14ac:dyDescent="0.25">
      <c r="A7" s="17" t="s">
        <v>527</v>
      </c>
      <c r="B7" s="18">
        <v>60</v>
      </c>
      <c r="C7" s="11" t="s">
        <v>350</v>
      </c>
      <c r="D7" s="12" t="s">
        <v>1382</v>
      </c>
    </row>
    <row r="8" spans="1:4" x14ac:dyDescent="0.25">
      <c r="A8" s="17" t="s">
        <v>461</v>
      </c>
      <c r="B8" s="18" t="s">
        <v>1150</v>
      </c>
      <c r="C8" s="13" t="s">
        <v>206</v>
      </c>
      <c r="D8" s="14" t="s">
        <v>1383</v>
      </c>
    </row>
    <row r="9" spans="1:4" x14ac:dyDescent="0.25">
      <c r="A9" s="17" t="s">
        <v>462</v>
      </c>
      <c r="B9" s="18" t="s">
        <v>1152</v>
      </c>
      <c r="C9" s="11" t="s">
        <v>350</v>
      </c>
      <c r="D9" s="12" t="s">
        <v>1384</v>
      </c>
    </row>
    <row r="10" spans="1:4" x14ac:dyDescent="0.25">
      <c r="A10" s="17" t="s">
        <v>528</v>
      </c>
      <c r="B10" s="18" t="s">
        <v>1379</v>
      </c>
      <c r="C10" s="13" t="s">
        <v>277</v>
      </c>
      <c r="D10" s="14" t="s">
        <v>1385</v>
      </c>
    </row>
    <row r="11" spans="1:4" x14ac:dyDescent="0.25">
      <c r="A11" s="17" t="s">
        <v>529</v>
      </c>
      <c r="B11" s="18">
        <v>1.5</v>
      </c>
      <c r="C11" s="11" t="s">
        <v>257</v>
      </c>
      <c r="D11" s="12" t="s">
        <v>1386</v>
      </c>
    </row>
    <row r="12" spans="1:4" x14ac:dyDescent="0.25">
      <c r="A12" s="17" t="s">
        <v>281</v>
      </c>
      <c r="B12" s="18" t="s">
        <v>231</v>
      </c>
      <c r="C12" s="13" t="s">
        <v>232</v>
      </c>
      <c r="D12" s="14" t="s">
        <v>1387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1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10.42578125" style="1" bestFit="1" customWidth="1"/>
    <col min="3" max="3" width="7.28515625" style="1" bestFit="1" customWidth="1"/>
    <col min="4" max="4" width="120.7109375" style="1" bestFit="1" customWidth="1"/>
  </cols>
  <sheetData>
    <row r="1" spans="1:4" ht="15.75" x14ac:dyDescent="0.25">
      <c r="A1" s="76" t="s">
        <v>1276</v>
      </c>
      <c r="B1" s="65"/>
      <c r="C1" s="65"/>
      <c r="D1" s="65"/>
    </row>
    <row r="2" spans="1:4" x14ac:dyDescent="0.25">
      <c r="A2" s="64" t="s">
        <v>530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531</v>
      </c>
      <c r="B5" s="18">
        <v>50</v>
      </c>
      <c r="C5" s="11" t="s">
        <v>327</v>
      </c>
      <c r="D5" s="12" t="s">
        <v>1390</v>
      </c>
    </row>
    <row r="6" spans="1:4" x14ac:dyDescent="0.25">
      <c r="A6" s="17" t="s">
        <v>532</v>
      </c>
      <c r="B6" s="18">
        <v>-20</v>
      </c>
      <c r="C6" s="13" t="s">
        <v>327</v>
      </c>
      <c r="D6" s="14" t="s">
        <v>1391</v>
      </c>
    </row>
    <row r="7" spans="1:4" x14ac:dyDescent="0.25">
      <c r="A7" s="17" t="s">
        <v>533</v>
      </c>
      <c r="B7" s="18" t="s">
        <v>1388</v>
      </c>
      <c r="C7" s="11" t="s">
        <v>317</v>
      </c>
      <c r="D7" s="12" t="s">
        <v>1392</v>
      </c>
    </row>
    <row r="8" spans="1:4" x14ac:dyDescent="0.25">
      <c r="A8" s="17" t="s">
        <v>534</v>
      </c>
      <c r="B8" s="18" t="s">
        <v>1389</v>
      </c>
      <c r="C8" s="13" t="s">
        <v>317</v>
      </c>
      <c r="D8" s="14" t="s">
        <v>1393</v>
      </c>
    </row>
    <row r="9" spans="1:4" x14ac:dyDescent="0.25">
      <c r="A9" s="17" t="s">
        <v>535</v>
      </c>
      <c r="B9" s="18">
        <v>100</v>
      </c>
      <c r="C9" s="11" t="s">
        <v>327</v>
      </c>
      <c r="D9" s="12" t="s">
        <v>1394</v>
      </c>
    </row>
    <row r="10" spans="1:4" x14ac:dyDescent="0.25">
      <c r="A10" s="17" t="s">
        <v>536</v>
      </c>
      <c r="B10" s="18" t="s">
        <v>231</v>
      </c>
      <c r="C10" s="13" t="s">
        <v>232</v>
      </c>
      <c r="D10" s="14" t="s">
        <v>1395</v>
      </c>
    </row>
    <row r="11" spans="1:4" x14ac:dyDescent="0.25">
      <c r="A11" s="17" t="s">
        <v>537</v>
      </c>
      <c r="B11" s="18" t="s">
        <v>231</v>
      </c>
      <c r="C11" s="11" t="s">
        <v>232</v>
      </c>
      <c r="D11" s="12" t="s">
        <v>1396</v>
      </c>
    </row>
    <row r="12" spans="1:4" x14ac:dyDescent="0.25">
      <c r="A12" s="17" t="s">
        <v>234</v>
      </c>
      <c r="B12" s="18"/>
      <c r="C12" s="13"/>
      <c r="D12" s="14"/>
    </row>
    <row r="13" spans="1:4" x14ac:dyDescent="0.25">
      <c r="A13" s="17" t="s">
        <v>235</v>
      </c>
      <c r="B13" s="18"/>
      <c r="C13" s="11"/>
      <c r="D13" s="12"/>
    </row>
    <row r="15" spans="1:4" ht="15.75" customHeight="1" x14ac:dyDescent="0.25">
      <c r="A15" s="19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59.140625" style="1" bestFit="1" customWidth="1"/>
    <col min="3" max="3" width="6.7109375" style="1" bestFit="1" customWidth="1"/>
    <col min="4" max="4" width="86.5703125" style="1" bestFit="1" customWidth="1"/>
  </cols>
  <sheetData>
    <row r="1" spans="1:4" ht="15.75" x14ac:dyDescent="0.25">
      <c r="A1" s="76" t="s">
        <v>1277</v>
      </c>
      <c r="B1" s="65"/>
      <c r="C1" s="65"/>
      <c r="D1" s="65"/>
    </row>
    <row r="2" spans="1:4" x14ac:dyDescent="0.25">
      <c r="A2" s="64" t="s">
        <v>538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17" t="s">
        <v>539</v>
      </c>
      <c r="B5" s="18">
        <v>1</v>
      </c>
      <c r="C5" s="11" t="s">
        <v>389</v>
      </c>
      <c r="D5" s="12" t="s">
        <v>1400</v>
      </c>
    </row>
    <row r="6" spans="1:4" x14ac:dyDescent="0.25">
      <c r="A6" s="17" t="s">
        <v>540</v>
      </c>
      <c r="B6" s="18">
        <v>0.2</v>
      </c>
      <c r="C6" s="13" t="s">
        <v>458</v>
      </c>
      <c r="D6" s="14" t="s">
        <v>1401</v>
      </c>
    </row>
    <row r="7" spans="1:4" x14ac:dyDescent="0.25">
      <c r="A7" s="17" t="s">
        <v>216</v>
      </c>
      <c r="B7" s="18" t="s">
        <v>1202</v>
      </c>
      <c r="C7" s="11" t="s">
        <v>206</v>
      </c>
      <c r="D7" s="12" t="s">
        <v>1402</v>
      </c>
    </row>
    <row r="8" spans="1:4" x14ac:dyDescent="0.25">
      <c r="A8" s="17" t="s">
        <v>541</v>
      </c>
      <c r="B8" s="18" t="s">
        <v>231</v>
      </c>
      <c r="C8" s="13" t="s">
        <v>232</v>
      </c>
      <c r="D8" s="14" t="s">
        <v>1403</v>
      </c>
    </row>
    <row r="9" spans="1:4" x14ac:dyDescent="0.25">
      <c r="A9" s="17" t="s">
        <v>542</v>
      </c>
      <c r="B9" s="18" t="s">
        <v>1397</v>
      </c>
      <c r="C9" s="11" t="s">
        <v>206</v>
      </c>
      <c r="D9" s="12" t="s">
        <v>1404</v>
      </c>
    </row>
    <row r="10" spans="1:4" x14ac:dyDescent="0.25">
      <c r="A10" s="17" t="s">
        <v>543</v>
      </c>
      <c r="B10" s="18">
        <v>0.5</v>
      </c>
      <c r="C10" s="13" t="s">
        <v>458</v>
      </c>
      <c r="D10" s="14" t="s">
        <v>1405</v>
      </c>
    </row>
    <row r="11" spans="1:4" x14ac:dyDescent="0.25">
      <c r="A11" s="17" t="s">
        <v>544</v>
      </c>
      <c r="B11" s="18" t="s">
        <v>1398</v>
      </c>
      <c r="C11" s="11" t="s">
        <v>206</v>
      </c>
      <c r="D11" s="12" t="s">
        <v>1406</v>
      </c>
    </row>
    <row r="12" spans="1:4" x14ac:dyDescent="0.25">
      <c r="A12" s="17" t="s">
        <v>545</v>
      </c>
      <c r="B12" s="18" t="s">
        <v>1399</v>
      </c>
      <c r="C12" s="13" t="s">
        <v>206</v>
      </c>
      <c r="D12" s="14" t="s">
        <v>1407</v>
      </c>
    </row>
    <row r="13" spans="1:4" x14ac:dyDescent="0.25">
      <c r="A13" s="17" t="s">
        <v>234</v>
      </c>
      <c r="B13" s="18"/>
      <c r="C13" s="11"/>
      <c r="D13" s="12"/>
    </row>
    <row r="14" spans="1:4" x14ac:dyDescent="0.25">
      <c r="A14" s="17" t="s">
        <v>235</v>
      </c>
      <c r="B14" s="18"/>
      <c r="C14" s="13"/>
      <c r="D14" s="14"/>
    </row>
    <row r="16" spans="1:4" ht="15.75" customHeight="1" x14ac:dyDescent="0.25">
      <c r="A16" s="19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2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41.140625" style="1" bestFit="1" customWidth="1"/>
    <col min="3" max="3" width="7" style="1" bestFit="1" customWidth="1"/>
    <col min="4" max="4" width="103.7109375" style="1" bestFit="1" customWidth="1"/>
  </cols>
  <sheetData>
    <row r="1" spans="1:4" ht="15.75" x14ac:dyDescent="0.25">
      <c r="A1" s="77" t="s">
        <v>546</v>
      </c>
      <c r="B1" s="65"/>
      <c r="C1" s="65"/>
      <c r="D1" s="65"/>
    </row>
    <row r="2" spans="1:4" x14ac:dyDescent="0.25">
      <c r="A2" s="64" t="s">
        <v>547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1261</v>
      </c>
      <c r="C5" s="11" t="s">
        <v>548</v>
      </c>
      <c r="D5" s="12" t="s">
        <v>1412</v>
      </c>
    </row>
    <row r="6" spans="1:4" x14ac:dyDescent="0.25">
      <c r="A6" s="20" t="s">
        <v>549</v>
      </c>
      <c r="B6" s="21" t="s">
        <v>1408</v>
      </c>
      <c r="C6" s="13" t="s">
        <v>548</v>
      </c>
      <c r="D6" s="14" t="s">
        <v>1413</v>
      </c>
    </row>
    <row r="7" spans="1:4" x14ac:dyDescent="0.25">
      <c r="A7" s="20" t="s">
        <v>293</v>
      </c>
      <c r="B7" s="21" t="s">
        <v>1409</v>
      </c>
      <c r="C7" s="11" t="s">
        <v>206</v>
      </c>
      <c r="D7" s="12" t="s">
        <v>1414</v>
      </c>
    </row>
    <row r="8" spans="1:4" x14ac:dyDescent="0.25">
      <c r="A8" s="20" t="s">
        <v>550</v>
      </c>
      <c r="B8" s="21">
        <v>15</v>
      </c>
      <c r="C8" s="13" t="s">
        <v>298</v>
      </c>
      <c r="D8" s="14" t="s">
        <v>1415</v>
      </c>
    </row>
    <row r="9" spans="1:4" x14ac:dyDescent="0.25">
      <c r="A9" s="20" t="s">
        <v>295</v>
      </c>
      <c r="B9" s="21" t="s">
        <v>1410</v>
      </c>
      <c r="C9" s="11" t="s">
        <v>225</v>
      </c>
      <c r="D9" s="12" t="s">
        <v>1416</v>
      </c>
    </row>
    <row r="10" spans="1:4" x14ac:dyDescent="0.25">
      <c r="A10" s="20" t="s">
        <v>299</v>
      </c>
      <c r="B10" s="21" t="s">
        <v>1081</v>
      </c>
      <c r="C10" s="13" t="s">
        <v>206</v>
      </c>
      <c r="D10" s="14" t="s">
        <v>1417</v>
      </c>
    </row>
    <row r="11" spans="1:4" x14ac:dyDescent="0.25">
      <c r="A11" s="20" t="s">
        <v>551</v>
      </c>
      <c r="B11" s="21" t="s">
        <v>1411</v>
      </c>
      <c r="C11" s="11" t="s">
        <v>206</v>
      </c>
      <c r="D11" s="12" t="s">
        <v>1418</v>
      </c>
    </row>
    <row r="12" spans="1:4" x14ac:dyDescent="0.25">
      <c r="A12" s="20" t="s">
        <v>301</v>
      </c>
      <c r="B12" s="21">
        <v>3</v>
      </c>
      <c r="C12" s="13" t="s">
        <v>302</v>
      </c>
      <c r="D12" s="14" t="s">
        <v>1419</v>
      </c>
    </row>
    <row r="13" spans="1:4" x14ac:dyDescent="0.25">
      <c r="A13" s="20" t="s">
        <v>552</v>
      </c>
      <c r="B13" s="21" t="s">
        <v>231</v>
      </c>
      <c r="C13" s="11" t="s">
        <v>232</v>
      </c>
      <c r="D13" s="12" t="s">
        <v>1420</v>
      </c>
    </row>
    <row r="14" spans="1:4" x14ac:dyDescent="0.25">
      <c r="A14" s="20" t="s">
        <v>234</v>
      </c>
      <c r="B14" s="21"/>
      <c r="C14" s="13"/>
      <c r="D14" s="14"/>
    </row>
    <row r="15" spans="1:4" x14ac:dyDescent="0.25">
      <c r="A15" s="20" t="s">
        <v>235</v>
      </c>
      <c r="B15" s="21"/>
      <c r="C15" s="11"/>
      <c r="D15" s="12"/>
    </row>
    <row r="17" spans="1:4" ht="15.75" customHeight="1" x14ac:dyDescent="0.25">
      <c r="A17" s="22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2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25.85546875" style="1" bestFit="1" customWidth="1"/>
    <col min="3" max="3" width="14" style="1" customWidth="1"/>
    <col min="4" max="4" width="119.28515625" style="1" bestFit="1" customWidth="1"/>
  </cols>
  <sheetData>
    <row r="1" spans="1:4" ht="15.75" x14ac:dyDescent="0.25">
      <c r="A1" s="77" t="s">
        <v>553</v>
      </c>
      <c r="B1" s="65"/>
      <c r="C1" s="65"/>
      <c r="D1" s="65"/>
    </row>
    <row r="2" spans="1:4" x14ac:dyDescent="0.25">
      <c r="A2" s="64" t="s">
        <v>554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1421</v>
      </c>
      <c r="C5" s="11" t="s">
        <v>548</v>
      </c>
      <c r="D5" s="12" t="s">
        <v>1424</v>
      </c>
    </row>
    <row r="6" spans="1:4" x14ac:dyDescent="0.25">
      <c r="A6" s="20" t="s">
        <v>555</v>
      </c>
      <c r="B6" s="21">
        <v>28</v>
      </c>
      <c r="C6" s="13" t="s">
        <v>548</v>
      </c>
      <c r="D6" s="14" t="s">
        <v>1413</v>
      </c>
    </row>
    <row r="7" spans="1:4" x14ac:dyDescent="0.25">
      <c r="A7" s="20" t="s">
        <v>293</v>
      </c>
      <c r="B7" s="21" t="s">
        <v>1422</v>
      </c>
      <c r="C7" s="11" t="s">
        <v>206</v>
      </c>
      <c r="D7" s="12" t="s">
        <v>1425</v>
      </c>
    </row>
    <row r="8" spans="1:4" x14ac:dyDescent="0.25">
      <c r="A8" s="20" t="s">
        <v>550</v>
      </c>
      <c r="B8" s="21">
        <v>10</v>
      </c>
      <c r="C8" s="13" t="s">
        <v>298</v>
      </c>
      <c r="D8" s="14" t="s">
        <v>1426</v>
      </c>
    </row>
    <row r="9" spans="1:4" x14ac:dyDescent="0.25">
      <c r="A9" s="20" t="s">
        <v>295</v>
      </c>
      <c r="B9" s="21" t="s">
        <v>1410</v>
      </c>
      <c r="C9" s="11" t="s">
        <v>225</v>
      </c>
      <c r="D9" s="12" t="s">
        <v>1427</v>
      </c>
    </row>
    <row r="10" spans="1:4" x14ac:dyDescent="0.25">
      <c r="A10" s="20" t="s">
        <v>556</v>
      </c>
      <c r="B10" s="21" t="s">
        <v>1423</v>
      </c>
      <c r="C10" s="13" t="s">
        <v>548</v>
      </c>
      <c r="D10" s="14" t="s">
        <v>1428</v>
      </c>
    </row>
    <row r="11" spans="1:4" x14ac:dyDescent="0.25">
      <c r="A11" s="20" t="s">
        <v>299</v>
      </c>
      <c r="B11" s="21" t="s">
        <v>1081</v>
      </c>
      <c r="C11" s="11" t="s">
        <v>206</v>
      </c>
      <c r="D11" s="12" t="s">
        <v>1427</v>
      </c>
    </row>
    <row r="12" spans="1:4" x14ac:dyDescent="0.25">
      <c r="A12" s="20" t="s">
        <v>301</v>
      </c>
      <c r="B12" s="21">
        <v>3</v>
      </c>
      <c r="C12" s="13" t="s">
        <v>302</v>
      </c>
      <c r="D12" s="14" t="s">
        <v>1427</v>
      </c>
    </row>
    <row r="13" spans="1:4" x14ac:dyDescent="0.25">
      <c r="A13" s="20" t="s">
        <v>234</v>
      </c>
      <c r="B13" s="21"/>
      <c r="C13" s="11"/>
      <c r="D13" s="12"/>
    </row>
    <row r="14" spans="1:4" x14ac:dyDescent="0.25">
      <c r="A14" s="20" t="s">
        <v>235</v>
      </c>
      <c r="B14" s="21"/>
      <c r="C14" s="13"/>
      <c r="D14" s="14"/>
    </row>
    <row r="16" spans="1:4" ht="15.75" customHeight="1" x14ac:dyDescent="0.25">
      <c r="A16" s="22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2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25.85546875" style="1" bestFit="1" customWidth="1"/>
    <col min="3" max="3" width="7" style="1" bestFit="1" customWidth="1"/>
    <col min="4" max="4" width="98" style="1" bestFit="1" customWidth="1"/>
  </cols>
  <sheetData>
    <row r="1" spans="1:4" ht="15.75" x14ac:dyDescent="0.25">
      <c r="A1" s="77" t="s">
        <v>557</v>
      </c>
      <c r="B1" s="65"/>
      <c r="C1" s="65"/>
      <c r="D1" s="65"/>
    </row>
    <row r="2" spans="1:4" x14ac:dyDescent="0.25">
      <c r="A2" s="64" t="s">
        <v>558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1429</v>
      </c>
      <c r="C5" s="11" t="s">
        <v>548</v>
      </c>
      <c r="D5" s="12" t="s">
        <v>1430</v>
      </c>
    </row>
    <row r="6" spans="1:4" x14ac:dyDescent="0.25">
      <c r="A6" s="20" t="s">
        <v>559</v>
      </c>
      <c r="B6" s="21">
        <v>22</v>
      </c>
      <c r="C6" s="13" t="s">
        <v>548</v>
      </c>
      <c r="D6" s="14" t="s">
        <v>1413</v>
      </c>
    </row>
    <row r="7" spans="1:4" x14ac:dyDescent="0.25">
      <c r="A7" s="20" t="s">
        <v>293</v>
      </c>
      <c r="B7" s="21" t="s">
        <v>1422</v>
      </c>
      <c r="C7" s="11" t="s">
        <v>206</v>
      </c>
      <c r="D7" s="12" t="s">
        <v>1431</v>
      </c>
    </row>
    <row r="8" spans="1:4" x14ac:dyDescent="0.25">
      <c r="A8" s="20" t="s">
        <v>550</v>
      </c>
      <c r="B8" s="21">
        <v>10</v>
      </c>
      <c r="C8" s="13" t="s">
        <v>298</v>
      </c>
      <c r="D8" s="14" t="s">
        <v>1432</v>
      </c>
    </row>
    <row r="9" spans="1:4" x14ac:dyDescent="0.25">
      <c r="A9" s="20" t="s">
        <v>295</v>
      </c>
      <c r="B9" s="21" t="s">
        <v>1410</v>
      </c>
      <c r="C9" s="11" t="s">
        <v>225</v>
      </c>
      <c r="D9" s="12" t="s">
        <v>1433</v>
      </c>
    </row>
    <row r="10" spans="1:4" x14ac:dyDescent="0.25">
      <c r="A10" s="20" t="s">
        <v>299</v>
      </c>
      <c r="B10" s="21" t="s">
        <v>1081</v>
      </c>
      <c r="C10" s="13" t="s">
        <v>206</v>
      </c>
      <c r="D10" s="14" t="s">
        <v>1433</v>
      </c>
    </row>
    <row r="11" spans="1:4" x14ac:dyDescent="0.25">
      <c r="A11" s="20" t="s">
        <v>301</v>
      </c>
      <c r="B11" s="21">
        <v>3</v>
      </c>
      <c r="C11" s="11" t="s">
        <v>302</v>
      </c>
      <c r="D11" s="12" t="s">
        <v>1433</v>
      </c>
    </row>
    <row r="12" spans="1:4" x14ac:dyDescent="0.25">
      <c r="A12" s="20" t="s">
        <v>234</v>
      </c>
      <c r="B12" s="21"/>
      <c r="C12" s="13"/>
      <c r="D12" s="14"/>
    </row>
    <row r="13" spans="1:4" x14ac:dyDescent="0.25">
      <c r="A13" s="20" t="s">
        <v>235</v>
      </c>
      <c r="B13" s="21"/>
      <c r="C13" s="11"/>
      <c r="D13" s="12"/>
    </row>
    <row r="15" spans="1:4" ht="15.75" customHeight="1" x14ac:dyDescent="0.25">
      <c r="A15" s="22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25.85546875" style="1" bestFit="1" customWidth="1"/>
    <col min="3" max="3" width="7" style="1" bestFit="1" customWidth="1"/>
    <col min="4" max="4" width="75" style="1" bestFit="1" customWidth="1"/>
  </cols>
  <sheetData>
    <row r="1" spans="1:4" ht="15.75" x14ac:dyDescent="0.25">
      <c r="A1" s="77" t="s">
        <v>560</v>
      </c>
      <c r="B1" s="65"/>
      <c r="C1" s="65"/>
      <c r="D1" s="65"/>
    </row>
    <row r="2" spans="1:4" x14ac:dyDescent="0.25">
      <c r="A2" s="64" t="s">
        <v>561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1434</v>
      </c>
      <c r="C5" s="11" t="s">
        <v>548</v>
      </c>
      <c r="D5" s="12" t="s">
        <v>1435</v>
      </c>
    </row>
    <row r="6" spans="1:4" x14ac:dyDescent="0.25">
      <c r="A6" s="20" t="s">
        <v>562</v>
      </c>
      <c r="B6" s="21">
        <v>8</v>
      </c>
      <c r="C6" s="13" t="s">
        <v>548</v>
      </c>
      <c r="D6" s="14" t="s">
        <v>1413</v>
      </c>
    </row>
    <row r="7" spans="1:4" x14ac:dyDescent="0.25">
      <c r="A7" s="20" t="s">
        <v>293</v>
      </c>
      <c r="B7" s="21" t="s">
        <v>1422</v>
      </c>
      <c r="C7" s="11" t="s">
        <v>206</v>
      </c>
      <c r="D7" s="12" t="s">
        <v>1436</v>
      </c>
    </row>
    <row r="8" spans="1:4" x14ac:dyDescent="0.25">
      <c r="A8" s="20" t="s">
        <v>550</v>
      </c>
      <c r="B8" s="21">
        <v>10</v>
      </c>
      <c r="C8" s="13" t="s">
        <v>298</v>
      </c>
      <c r="D8" s="14" t="s">
        <v>1437</v>
      </c>
    </row>
    <row r="9" spans="1:4" x14ac:dyDescent="0.25">
      <c r="A9" s="20" t="s">
        <v>295</v>
      </c>
      <c r="B9" s="21" t="s">
        <v>1410</v>
      </c>
      <c r="C9" s="11" t="s">
        <v>225</v>
      </c>
      <c r="D9" s="12" t="s">
        <v>1438</v>
      </c>
    </row>
    <row r="10" spans="1:4" x14ac:dyDescent="0.25">
      <c r="A10" s="20" t="s">
        <v>299</v>
      </c>
      <c r="B10" s="21" t="s">
        <v>1081</v>
      </c>
      <c r="C10" s="13" t="s">
        <v>206</v>
      </c>
      <c r="D10" s="14" t="s">
        <v>1438</v>
      </c>
    </row>
    <row r="11" spans="1:4" x14ac:dyDescent="0.25">
      <c r="A11" s="20" t="s">
        <v>301</v>
      </c>
      <c r="B11" s="21">
        <v>3</v>
      </c>
      <c r="C11" s="11" t="s">
        <v>302</v>
      </c>
      <c r="D11" s="12" t="s">
        <v>1438</v>
      </c>
    </row>
    <row r="12" spans="1:4" x14ac:dyDescent="0.25">
      <c r="A12" s="20" t="s">
        <v>234</v>
      </c>
      <c r="B12" s="21"/>
      <c r="C12" s="13"/>
      <c r="D12" s="14"/>
    </row>
    <row r="13" spans="1:4" x14ac:dyDescent="0.25">
      <c r="A13" s="20" t="s">
        <v>235</v>
      </c>
      <c r="B13" s="21"/>
      <c r="C13" s="11"/>
      <c r="D13" s="12"/>
    </row>
    <row r="15" spans="1:4" ht="15.75" customHeight="1" x14ac:dyDescent="0.25">
      <c r="A15" s="22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3"/>
  <sheetViews>
    <sheetView showGridLines="0" zoomScaleNormal="100" workbookViewId="0">
      <selection activeCell="A13" sqref="A13"/>
    </sheetView>
  </sheetViews>
  <sheetFormatPr defaultColWidth="8.7109375" defaultRowHeight="15" x14ac:dyDescent="0.25"/>
  <cols>
    <col min="1" max="1" width="36" style="1" customWidth="1"/>
    <col min="2" max="2" width="55.140625" style="1" bestFit="1" customWidth="1"/>
    <col min="3" max="3" width="5.140625" style="1" bestFit="1" customWidth="1"/>
    <col min="4" max="4" width="112.42578125" style="1" bestFit="1" customWidth="1"/>
  </cols>
  <sheetData>
    <row r="1" spans="1:4" ht="15.75" x14ac:dyDescent="0.25">
      <c r="A1" s="77" t="s">
        <v>563</v>
      </c>
      <c r="B1" s="65"/>
      <c r="C1" s="65"/>
      <c r="D1" s="65"/>
    </row>
    <row r="2" spans="1:4" x14ac:dyDescent="0.25">
      <c r="A2" s="64" t="s">
        <v>564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1439</v>
      </c>
      <c r="C5" s="11" t="s">
        <v>548</v>
      </c>
      <c r="D5" s="12" t="s">
        <v>1443</v>
      </c>
    </row>
    <row r="6" spans="1:4" x14ac:dyDescent="0.25">
      <c r="A6" s="20" t="s">
        <v>565</v>
      </c>
      <c r="B6" s="21">
        <v>10</v>
      </c>
      <c r="C6" s="13" t="s">
        <v>548</v>
      </c>
      <c r="D6" s="14" t="s">
        <v>1413</v>
      </c>
    </row>
    <row r="7" spans="1:4" x14ac:dyDescent="0.25">
      <c r="A7" s="20" t="s">
        <v>293</v>
      </c>
      <c r="B7" s="21" t="s">
        <v>1440</v>
      </c>
      <c r="C7" s="11" t="s">
        <v>206</v>
      </c>
      <c r="D7" s="12" t="s">
        <v>1444</v>
      </c>
    </row>
    <row r="8" spans="1:4" x14ac:dyDescent="0.25">
      <c r="A8" s="20" t="s">
        <v>299</v>
      </c>
      <c r="B8" s="21" t="s">
        <v>1081</v>
      </c>
      <c r="C8" s="13" t="s">
        <v>206</v>
      </c>
      <c r="D8" s="14" t="s">
        <v>1445</v>
      </c>
    </row>
    <row r="9" spans="1:4" x14ac:dyDescent="0.25">
      <c r="A9" s="20" t="s">
        <v>295</v>
      </c>
      <c r="B9" s="21" t="s">
        <v>1441</v>
      </c>
      <c r="C9" s="11" t="s">
        <v>225</v>
      </c>
      <c r="D9" s="12" t="s">
        <v>1446</v>
      </c>
    </row>
    <row r="10" spans="1:4" x14ac:dyDescent="0.25">
      <c r="A10" s="20" t="s">
        <v>234</v>
      </c>
      <c r="B10" s="21" t="s">
        <v>1442</v>
      </c>
      <c r="C10" s="13"/>
      <c r="D10" s="14"/>
    </row>
    <row r="11" spans="1:4" x14ac:dyDescent="0.25">
      <c r="A11" s="20" t="s">
        <v>235</v>
      </c>
      <c r="B11" s="21"/>
      <c r="C11" s="11"/>
      <c r="D11" s="12"/>
    </row>
    <row r="13" spans="1:4" ht="15.75" customHeight="1" x14ac:dyDescent="0.25">
      <c r="A13" s="22" t="s">
        <v>236</v>
      </c>
      <c r="C13" s="71" t="str">
        <f>COUNTA(B5:B11)&amp;" of 7 parameters filled"</f>
        <v>6 of 7 parameters filled</v>
      </c>
      <c r="D13" s="65"/>
    </row>
  </sheetData>
  <mergeCells count="3">
    <mergeCell ref="A1:D1"/>
    <mergeCell ref="C13:D13"/>
    <mergeCell ref="A2:D2"/>
  </mergeCells>
  <hyperlinks>
    <hyperlink ref="A13" location="INDEX!A1" display="&lt;&lt; Back to INDEX" xr:uid="{00000000-0004-0000-2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76.140625" style="1" bestFit="1" customWidth="1"/>
    <col min="3" max="3" width="7" style="1" bestFit="1" customWidth="1"/>
    <col min="4" max="4" width="100.5703125" style="1" bestFit="1" customWidth="1"/>
  </cols>
  <sheetData>
    <row r="1" spans="1:4" ht="15.75" x14ac:dyDescent="0.25">
      <c r="A1" s="77" t="s">
        <v>566</v>
      </c>
      <c r="B1" s="65"/>
      <c r="C1" s="65"/>
      <c r="D1" s="65"/>
    </row>
    <row r="2" spans="1:4" x14ac:dyDescent="0.25">
      <c r="A2" s="64" t="s">
        <v>567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568</v>
      </c>
      <c r="B5" s="21" t="s">
        <v>1434</v>
      </c>
      <c r="C5" s="11" t="s">
        <v>569</v>
      </c>
      <c r="D5" s="12" t="s">
        <v>1449</v>
      </c>
    </row>
    <row r="6" spans="1:4" x14ac:dyDescent="0.25">
      <c r="A6" s="20" t="s">
        <v>570</v>
      </c>
      <c r="B6" s="21">
        <v>9.8000000000000007</v>
      </c>
      <c r="C6" s="13" t="s">
        <v>569</v>
      </c>
      <c r="D6" s="14" t="s">
        <v>1450</v>
      </c>
    </row>
    <row r="7" spans="1:4" x14ac:dyDescent="0.25">
      <c r="A7" s="20" t="s">
        <v>293</v>
      </c>
      <c r="B7" s="21" t="s">
        <v>1447</v>
      </c>
      <c r="C7" s="11" t="s">
        <v>206</v>
      </c>
      <c r="D7" s="12" t="s">
        <v>1451</v>
      </c>
    </row>
    <row r="8" spans="1:4" x14ac:dyDescent="0.25">
      <c r="A8" s="20" t="s">
        <v>297</v>
      </c>
      <c r="B8" s="21">
        <v>15</v>
      </c>
      <c r="C8" s="13" t="s">
        <v>298</v>
      </c>
      <c r="D8" s="14" t="s">
        <v>1452</v>
      </c>
    </row>
    <row r="9" spans="1:4" x14ac:dyDescent="0.25">
      <c r="A9" s="20" t="s">
        <v>295</v>
      </c>
      <c r="B9" s="21" t="s">
        <v>1441</v>
      </c>
      <c r="C9" s="11" t="s">
        <v>225</v>
      </c>
      <c r="D9" s="12" t="s">
        <v>1453</v>
      </c>
    </row>
    <row r="10" spans="1:4" x14ac:dyDescent="0.25">
      <c r="A10" s="20" t="s">
        <v>299</v>
      </c>
      <c r="B10" s="21" t="s">
        <v>1081</v>
      </c>
      <c r="C10" s="13" t="s">
        <v>206</v>
      </c>
      <c r="D10" s="14" t="s">
        <v>1454</v>
      </c>
    </row>
    <row r="11" spans="1:4" x14ac:dyDescent="0.25">
      <c r="A11" s="20" t="s">
        <v>301</v>
      </c>
      <c r="B11" s="21" t="s">
        <v>1448</v>
      </c>
      <c r="C11" s="11" t="s">
        <v>206</v>
      </c>
      <c r="D11" s="12" t="s">
        <v>1455</v>
      </c>
    </row>
    <row r="12" spans="1:4" x14ac:dyDescent="0.25">
      <c r="A12" s="20" t="s">
        <v>234</v>
      </c>
      <c r="B12" s="21"/>
      <c r="C12" s="13"/>
      <c r="D12" s="14"/>
    </row>
    <row r="13" spans="1:4" x14ac:dyDescent="0.25">
      <c r="A13" s="20" t="s">
        <v>235</v>
      </c>
      <c r="B13" s="21"/>
      <c r="C13" s="11"/>
      <c r="D13" s="12"/>
    </row>
    <row r="15" spans="1:4" ht="15.75" customHeight="1" x14ac:dyDescent="0.25">
      <c r="A15" s="22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4"/>
  <sheetViews>
    <sheetView showGridLines="0" zoomScale="85" zoomScaleNormal="85" workbookViewId="0">
      <selection activeCell="D7" sqref="D7"/>
    </sheetView>
  </sheetViews>
  <sheetFormatPr defaultColWidth="8.7109375" defaultRowHeight="15" x14ac:dyDescent="0.25"/>
  <cols>
    <col min="1" max="1" width="36" style="1" customWidth="1"/>
    <col min="2" max="2" width="70.85546875" style="1" bestFit="1" customWidth="1"/>
    <col min="3" max="3" width="7.42578125" style="1" bestFit="1" customWidth="1"/>
    <col min="4" max="4" width="81.42578125" style="1" bestFit="1" customWidth="1"/>
  </cols>
  <sheetData>
    <row r="1" spans="1:4" ht="15.75" x14ac:dyDescent="0.25">
      <c r="A1" s="77" t="s">
        <v>571</v>
      </c>
      <c r="B1" s="65"/>
      <c r="C1" s="65"/>
      <c r="D1" s="65"/>
    </row>
    <row r="2" spans="1:4" x14ac:dyDescent="0.25">
      <c r="A2" s="64" t="s">
        <v>572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573</v>
      </c>
      <c r="B5" s="21" t="s">
        <v>1456</v>
      </c>
      <c r="C5" s="11" t="s">
        <v>206</v>
      </c>
      <c r="D5" s="12" t="s">
        <v>1460</v>
      </c>
    </row>
    <row r="6" spans="1:4" x14ac:dyDescent="0.25">
      <c r="A6" s="20" t="s">
        <v>574</v>
      </c>
      <c r="B6" s="21" t="s">
        <v>1457</v>
      </c>
      <c r="C6" s="13" t="s">
        <v>206</v>
      </c>
      <c r="D6" s="14" t="s">
        <v>1461</v>
      </c>
    </row>
    <row r="7" spans="1:4" x14ac:dyDescent="0.25">
      <c r="A7" s="20" t="s">
        <v>575</v>
      </c>
      <c r="B7" s="21">
        <v>10</v>
      </c>
      <c r="C7" s="11" t="s">
        <v>447</v>
      </c>
      <c r="D7" s="12" t="s">
        <v>2108</v>
      </c>
    </row>
    <row r="8" spans="1:4" x14ac:dyDescent="0.25">
      <c r="A8" s="20" t="s">
        <v>576</v>
      </c>
      <c r="B8" s="21" t="s">
        <v>1318</v>
      </c>
      <c r="C8" s="13" t="s">
        <v>477</v>
      </c>
      <c r="D8" s="14" t="s">
        <v>1462</v>
      </c>
    </row>
    <row r="9" spans="1:4" x14ac:dyDescent="0.25">
      <c r="A9" s="20" t="s">
        <v>577</v>
      </c>
      <c r="B9" s="21" t="s">
        <v>1458</v>
      </c>
      <c r="C9" s="11" t="s">
        <v>206</v>
      </c>
      <c r="D9" s="12" t="s">
        <v>1463</v>
      </c>
    </row>
    <row r="10" spans="1:4" x14ac:dyDescent="0.25">
      <c r="A10" s="20" t="s">
        <v>578</v>
      </c>
      <c r="B10" s="21">
        <v>100</v>
      </c>
      <c r="C10" s="13" t="s">
        <v>319</v>
      </c>
      <c r="D10" s="14" t="s">
        <v>1464</v>
      </c>
    </row>
    <row r="11" spans="1:4" x14ac:dyDescent="0.25">
      <c r="A11" s="20" t="s">
        <v>579</v>
      </c>
      <c r="B11" s="21" t="s">
        <v>1459</v>
      </c>
      <c r="C11" s="11"/>
      <c r="D11" s="12" t="s">
        <v>1465</v>
      </c>
    </row>
    <row r="12" spans="1:4" x14ac:dyDescent="0.25">
      <c r="A12" s="20" t="s">
        <v>235</v>
      </c>
      <c r="B12" s="21"/>
      <c r="C12" s="13"/>
      <c r="D12" s="14"/>
    </row>
    <row r="14" spans="1:4" ht="15.75" customHeight="1" x14ac:dyDescent="0.25">
      <c r="A14" s="22" t="s">
        <v>236</v>
      </c>
      <c r="C14" s="71" t="str">
        <f>COUNTA(B5:B12)&amp;" of 8 parameters filled"</f>
        <v>7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2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67.42578125" style="1" bestFit="1" customWidth="1"/>
    <col min="3" max="3" width="7" style="1" bestFit="1" customWidth="1"/>
    <col min="4" max="4" width="93.7109375" style="1" bestFit="1" customWidth="1"/>
  </cols>
  <sheetData>
    <row r="1" spans="1:4" ht="15.75" x14ac:dyDescent="0.25">
      <c r="A1" s="77" t="s">
        <v>580</v>
      </c>
      <c r="B1" s="65"/>
      <c r="C1" s="65"/>
      <c r="D1" s="65"/>
    </row>
    <row r="2" spans="1:4" x14ac:dyDescent="0.25">
      <c r="A2" s="64" t="s">
        <v>581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582</v>
      </c>
      <c r="B5" s="21" t="s">
        <v>1466</v>
      </c>
      <c r="C5" s="11" t="s">
        <v>486</v>
      </c>
      <c r="D5" s="12" t="s">
        <v>1469</v>
      </c>
    </row>
    <row r="6" spans="1:4" x14ac:dyDescent="0.25">
      <c r="A6" s="20" t="s">
        <v>583</v>
      </c>
      <c r="B6" s="21" t="s">
        <v>1369</v>
      </c>
      <c r="C6" s="13" t="s">
        <v>486</v>
      </c>
      <c r="D6" s="14" t="s">
        <v>1470</v>
      </c>
    </row>
    <row r="7" spans="1:4" x14ac:dyDescent="0.25">
      <c r="A7" s="20" t="s">
        <v>584</v>
      </c>
      <c r="B7" s="21" t="s">
        <v>1466</v>
      </c>
      <c r="C7" s="11" t="s">
        <v>486</v>
      </c>
      <c r="D7" s="12" t="s">
        <v>1471</v>
      </c>
    </row>
    <row r="8" spans="1:4" x14ac:dyDescent="0.25">
      <c r="A8" s="20" t="s">
        <v>293</v>
      </c>
      <c r="B8" s="21" t="s">
        <v>1467</v>
      </c>
      <c r="C8" s="13" t="s">
        <v>206</v>
      </c>
      <c r="D8" s="14" t="s">
        <v>1472</v>
      </c>
    </row>
    <row r="9" spans="1:4" x14ac:dyDescent="0.25">
      <c r="A9" s="20" t="s">
        <v>550</v>
      </c>
      <c r="B9" s="21">
        <v>30</v>
      </c>
      <c r="C9" s="11" t="s">
        <v>298</v>
      </c>
      <c r="D9" s="12" t="s">
        <v>1473</v>
      </c>
    </row>
    <row r="10" spans="1:4" x14ac:dyDescent="0.25">
      <c r="A10" s="20" t="s">
        <v>295</v>
      </c>
      <c r="B10" s="21" t="s">
        <v>1468</v>
      </c>
      <c r="C10" s="13" t="s">
        <v>225</v>
      </c>
      <c r="D10" s="14" t="s">
        <v>1474</v>
      </c>
    </row>
    <row r="11" spans="1:4" x14ac:dyDescent="0.25">
      <c r="A11" s="20" t="s">
        <v>299</v>
      </c>
      <c r="B11" s="21" t="s">
        <v>1081</v>
      </c>
      <c r="C11" s="11" t="s">
        <v>206</v>
      </c>
      <c r="D11" s="12" t="s">
        <v>1475</v>
      </c>
    </row>
    <row r="12" spans="1:4" x14ac:dyDescent="0.25">
      <c r="A12" s="20" t="s">
        <v>585</v>
      </c>
      <c r="B12" s="21">
        <v>0.5</v>
      </c>
      <c r="C12" s="13" t="s">
        <v>486</v>
      </c>
      <c r="D12" s="14" t="s">
        <v>1476</v>
      </c>
    </row>
    <row r="13" spans="1:4" x14ac:dyDescent="0.25">
      <c r="A13" s="20" t="s">
        <v>301</v>
      </c>
      <c r="B13" s="21">
        <v>1</v>
      </c>
      <c r="C13" s="11" t="s">
        <v>302</v>
      </c>
      <c r="D13" s="12" t="s">
        <v>1477</v>
      </c>
    </row>
    <row r="14" spans="1:4" x14ac:dyDescent="0.25">
      <c r="A14" s="20" t="s">
        <v>234</v>
      </c>
      <c r="B14" s="21"/>
      <c r="C14" s="13"/>
      <c r="D14" s="14"/>
    </row>
    <row r="15" spans="1:4" x14ac:dyDescent="0.25">
      <c r="A15" s="20" t="s">
        <v>235</v>
      </c>
      <c r="B15" s="21"/>
      <c r="C15" s="11"/>
      <c r="D15" s="12"/>
    </row>
    <row r="17" spans="1:4" ht="15.75" customHeight="1" x14ac:dyDescent="0.25">
      <c r="A17" s="22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2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5"/>
  <sheetViews>
    <sheetView showGridLines="0" zoomScale="85" zoomScaleNormal="8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47.140625" style="1" bestFit="1" customWidth="1"/>
    <col min="3" max="3" width="7.42578125" style="1" bestFit="1" customWidth="1"/>
    <col min="4" max="4" width="93.7109375" style="1" bestFit="1" customWidth="1"/>
  </cols>
  <sheetData>
    <row r="1" spans="1:4" ht="15.75" x14ac:dyDescent="0.25">
      <c r="A1" s="77" t="s">
        <v>586</v>
      </c>
      <c r="B1" s="65"/>
      <c r="C1" s="65"/>
      <c r="D1" s="65"/>
    </row>
    <row r="2" spans="1:4" x14ac:dyDescent="0.25">
      <c r="A2" s="64" t="s">
        <v>587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1439</v>
      </c>
      <c r="C5" s="11" t="s">
        <v>477</v>
      </c>
      <c r="D5" s="12" t="s">
        <v>1480</v>
      </c>
    </row>
    <row r="6" spans="1:4" x14ac:dyDescent="0.25">
      <c r="A6" s="20" t="s">
        <v>588</v>
      </c>
      <c r="B6" s="21">
        <v>0.5</v>
      </c>
      <c r="C6" s="13" t="s">
        <v>477</v>
      </c>
      <c r="D6" s="14" t="s">
        <v>1481</v>
      </c>
    </row>
    <row r="7" spans="1:4" x14ac:dyDescent="0.25">
      <c r="A7" s="20" t="s">
        <v>293</v>
      </c>
      <c r="B7" s="21" t="s">
        <v>1478</v>
      </c>
      <c r="C7" s="11" t="s">
        <v>206</v>
      </c>
      <c r="D7" s="12" t="s">
        <v>1482</v>
      </c>
    </row>
    <row r="8" spans="1:4" x14ac:dyDescent="0.25">
      <c r="A8" s="20" t="s">
        <v>297</v>
      </c>
      <c r="B8" s="21">
        <v>5</v>
      </c>
      <c r="C8" s="13" t="s">
        <v>298</v>
      </c>
      <c r="D8" s="14" t="s">
        <v>1483</v>
      </c>
    </row>
    <row r="9" spans="1:4" x14ac:dyDescent="0.25">
      <c r="A9" s="20" t="s">
        <v>299</v>
      </c>
      <c r="B9" s="21" t="s">
        <v>1081</v>
      </c>
      <c r="C9" s="11" t="s">
        <v>206</v>
      </c>
      <c r="D9" s="12" t="s">
        <v>1484</v>
      </c>
    </row>
    <row r="10" spans="1:4" x14ac:dyDescent="0.25">
      <c r="A10" s="20" t="s">
        <v>589</v>
      </c>
      <c r="B10" s="21">
        <v>40</v>
      </c>
      <c r="C10" s="13" t="s">
        <v>228</v>
      </c>
      <c r="D10" s="14" t="s">
        <v>1485</v>
      </c>
    </row>
    <row r="11" spans="1:4" x14ac:dyDescent="0.25">
      <c r="A11" s="20" t="s">
        <v>590</v>
      </c>
      <c r="B11" s="21" t="s">
        <v>1479</v>
      </c>
      <c r="C11" s="11" t="s">
        <v>206</v>
      </c>
      <c r="D11" s="12" t="s">
        <v>1486</v>
      </c>
    </row>
    <row r="12" spans="1:4" x14ac:dyDescent="0.25">
      <c r="A12" s="20" t="s">
        <v>234</v>
      </c>
      <c r="B12" s="21"/>
      <c r="C12" s="13"/>
      <c r="D12" s="14"/>
    </row>
    <row r="13" spans="1:4" x14ac:dyDescent="0.25">
      <c r="A13" s="20" t="s">
        <v>235</v>
      </c>
      <c r="B13" s="21"/>
      <c r="C13" s="11"/>
      <c r="D13" s="12"/>
    </row>
    <row r="15" spans="1:4" ht="15.75" customHeight="1" x14ac:dyDescent="0.25">
      <c r="A15" s="22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21.5703125" style="1" bestFit="1" customWidth="1"/>
    <col min="3" max="3" width="7.28515625" style="1" bestFit="1" customWidth="1"/>
    <col min="4" max="4" width="72.140625" style="1" bestFit="1" customWidth="1"/>
  </cols>
  <sheetData>
    <row r="1" spans="1:4" ht="15.75" x14ac:dyDescent="0.25">
      <c r="A1" s="77" t="s">
        <v>591</v>
      </c>
      <c r="B1" s="65"/>
      <c r="C1" s="65"/>
      <c r="D1" s="65"/>
    </row>
    <row r="2" spans="1:4" x14ac:dyDescent="0.25">
      <c r="A2" s="64" t="s">
        <v>592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593</v>
      </c>
      <c r="B5" s="21">
        <v>50</v>
      </c>
      <c r="C5" s="11" t="s">
        <v>350</v>
      </c>
      <c r="D5" s="12" t="s">
        <v>1487</v>
      </c>
    </row>
    <row r="6" spans="1:4" x14ac:dyDescent="0.25">
      <c r="A6" s="20" t="s">
        <v>461</v>
      </c>
      <c r="B6" s="21" t="s">
        <v>1150</v>
      </c>
      <c r="C6" s="13" t="s">
        <v>206</v>
      </c>
      <c r="D6" s="14" t="s">
        <v>1488</v>
      </c>
    </row>
    <row r="7" spans="1:4" x14ac:dyDescent="0.25">
      <c r="A7" s="20" t="s">
        <v>294</v>
      </c>
      <c r="B7" s="21" t="s">
        <v>1152</v>
      </c>
      <c r="C7" s="11" t="s">
        <v>350</v>
      </c>
      <c r="D7" s="12" t="s">
        <v>1489</v>
      </c>
    </row>
    <row r="8" spans="1:4" x14ac:dyDescent="0.25">
      <c r="A8" s="20" t="s">
        <v>295</v>
      </c>
      <c r="B8" s="21" t="s">
        <v>1410</v>
      </c>
      <c r="C8" s="13" t="s">
        <v>225</v>
      </c>
      <c r="D8" s="14" t="s">
        <v>1490</v>
      </c>
    </row>
    <row r="9" spans="1:4" x14ac:dyDescent="0.25">
      <c r="A9" s="20" t="s">
        <v>289</v>
      </c>
      <c r="B9" s="21">
        <v>40</v>
      </c>
      <c r="C9" s="11" t="s">
        <v>228</v>
      </c>
      <c r="D9" s="12" t="s">
        <v>1491</v>
      </c>
    </row>
    <row r="10" spans="1:4" x14ac:dyDescent="0.25">
      <c r="A10" s="20" t="s">
        <v>594</v>
      </c>
      <c r="B10" s="21">
        <v>50</v>
      </c>
      <c r="C10" s="13" t="s">
        <v>327</v>
      </c>
      <c r="D10" s="14" t="s">
        <v>1492</v>
      </c>
    </row>
    <row r="11" spans="1:4" x14ac:dyDescent="0.25">
      <c r="A11" s="20" t="s">
        <v>299</v>
      </c>
      <c r="B11" s="21" t="s">
        <v>1081</v>
      </c>
      <c r="C11" s="11" t="s">
        <v>206</v>
      </c>
      <c r="D11" s="12" t="s">
        <v>1493</v>
      </c>
    </row>
    <row r="12" spans="1:4" x14ac:dyDescent="0.25">
      <c r="A12" s="20" t="s">
        <v>234</v>
      </c>
      <c r="B12" s="21"/>
      <c r="C12" s="13"/>
      <c r="D12" s="14"/>
    </row>
    <row r="13" spans="1:4" x14ac:dyDescent="0.25">
      <c r="A13" s="20" t="s">
        <v>235</v>
      </c>
      <c r="B13" s="21"/>
      <c r="C13" s="11"/>
      <c r="D13" s="12"/>
    </row>
    <row r="15" spans="1:4" ht="15.75" customHeight="1" x14ac:dyDescent="0.25">
      <c r="A15" s="22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36" style="1" customWidth="1"/>
    <col min="2" max="2" width="19.42578125" style="1" bestFit="1" customWidth="1"/>
    <col min="3" max="3" width="4.140625" style="1" bestFit="1" customWidth="1"/>
    <col min="4" max="4" width="89.5703125" style="1" bestFit="1" customWidth="1"/>
  </cols>
  <sheetData>
    <row r="1" spans="1:4" ht="15.75" x14ac:dyDescent="0.25">
      <c r="A1" s="77" t="s">
        <v>595</v>
      </c>
      <c r="B1" s="65"/>
      <c r="C1" s="65"/>
      <c r="D1" s="65"/>
    </row>
    <row r="2" spans="1:4" x14ac:dyDescent="0.25">
      <c r="A2" s="64" t="s">
        <v>596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1152</v>
      </c>
      <c r="C5" s="11" t="s">
        <v>228</v>
      </c>
      <c r="D5" s="12" t="s">
        <v>1494</v>
      </c>
    </row>
    <row r="6" spans="1:4" x14ac:dyDescent="0.25">
      <c r="A6" s="20" t="s">
        <v>597</v>
      </c>
      <c r="B6" s="21" t="s">
        <v>1165</v>
      </c>
      <c r="C6" s="13" t="s">
        <v>206</v>
      </c>
      <c r="D6" s="14" t="s">
        <v>1495</v>
      </c>
    </row>
    <row r="7" spans="1:4" x14ac:dyDescent="0.25">
      <c r="A7" s="20" t="s">
        <v>295</v>
      </c>
      <c r="B7" s="21" t="s">
        <v>1052</v>
      </c>
      <c r="C7" s="11" t="s">
        <v>228</v>
      </c>
      <c r="D7" s="12" t="s">
        <v>1496</v>
      </c>
    </row>
    <row r="8" spans="1:4" x14ac:dyDescent="0.25">
      <c r="A8" s="20" t="s">
        <v>297</v>
      </c>
      <c r="B8" s="21">
        <v>5</v>
      </c>
      <c r="C8" s="13" t="s">
        <v>298</v>
      </c>
      <c r="D8" s="14" t="s">
        <v>1497</v>
      </c>
    </row>
    <row r="9" spans="1:4" x14ac:dyDescent="0.25">
      <c r="A9" s="20" t="s">
        <v>299</v>
      </c>
      <c r="B9" s="21" t="s">
        <v>1081</v>
      </c>
      <c r="C9" s="11" t="s">
        <v>206</v>
      </c>
      <c r="D9" s="12" t="s">
        <v>1498</v>
      </c>
    </row>
    <row r="10" spans="1:4" x14ac:dyDescent="0.25">
      <c r="A10" s="20" t="s">
        <v>598</v>
      </c>
      <c r="B10" s="21">
        <v>150</v>
      </c>
      <c r="C10" s="13" t="s">
        <v>214</v>
      </c>
      <c r="D10" s="14" t="s">
        <v>1499</v>
      </c>
    </row>
    <row r="11" spans="1:4" x14ac:dyDescent="0.25">
      <c r="A11" s="20" t="s">
        <v>234</v>
      </c>
      <c r="B11" s="21"/>
      <c r="C11" s="11"/>
      <c r="D11" s="12"/>
    </row>
    <row r="12" spans="1:4" x14ac:dyDescent="0.25">
      <c r="A12" s="20" t="s">
        <v>235</v>
      </c>
      <c r="B12" s="21"/>
      <c r="C12" s="13"/>
      <c r="D12" s="14"/>
    </row>
    <row r="14" spans="1:4" ht="15.75" customHeight="1" x14ac:dyDescent="0.25">
      <c r="A14" s="22" t="s">
        <v>236</v>
      </c>
      <c r="C14" s="71" t="str">
        <f>COUNTA(B5:B12)&amp;" of 8 parameters filled"</f>
        <v>6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2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4"/>
  <sheetViews>
    <sheetView showGridLines="0" zoomScaleNormal="100" workbookViewId="0">
      <selection activeCell="A14" sqref="A14"/>
    </sheetView>
  </sheetViews>
  <sheetFormatPr defaultColWidth="8.7109375" defaultRowHeight="15" x14ac:dyDescent="0.25"/>
  <cols>
    <col min="1" max="1" width="36" style="1" customWidth="1"/>
    <col min="2" max="2" width="35.42578125" style="1" bestFit="1" customWidth="1"/>
    <col min="3" max="3" width="7.28515625" style="1" bestFit="1" customWidth="1"/>
    <col min="4" max="4" width="70.85546875" style="1" bestFit="1" customWidth="1"/>
  </cols>
  <sheetData>
    <row r="1" spans="1:4" ht="15.75" x14ac:dyDescent="0.25">
      <c r="A1" s="77" t="s">
        <v>599</v>
      </c>
      <c r="B1" s="65"/>
      <c r="C1" s="65"/>
      <c r="D1" s="65"/>
    </row>
    <row r="2" spans="1:4" x14ac:dyDescent="0.25">
      <c r="A2" s="64" t="s">
        <v>600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0" t="s">
        <v>294</v>
      </c>
      <c r="B5" s="21" t="s">
        <v>1388</v>
      </c>
      <c r="C5" s="11" t="s">
        <v>327</v>
      </c>
      <c r="D5" s="12" t="s">
        <v>1501</v>
      </c>
    </row>
    <row r="6" spans="1:4" x14ac:dyDescent="0.25">
      <c r="A6" s="20" t="s">
        <v>328</v>
      </c>
      <c r="B6" s="21">
        <v>50</v>
      </c>
      <c r="C6" s="13" t="s">
        <v>327</v>
      </c>
      <c r="D6" s="14" t="s">
        <v>1502</v>
      </c>
    </row>
    <row r="7" spans="1:4" x14ac:dyDescent="0.25">
      <c r="A7" s="20" t="s">
        <v>597</v>
      </c>
      <c r="B7" s="21" t="s">
        <v>1140</v>
      </c>
      <c r="C7" s="11" t="s">
        <v>206</v>
      </c>
      <c r="D7" s="12" t="s">
        <v>1503</v>
      </c>
    </row>
    <row r="8" spans="1:4" x14ac:dyDescent="0.25">
      <c r="A8" s="20" t="s">
        <v>295</v>
      </c>
      <c r="B8" s="21" t="s">
        <v>224</v>
      </c>
      <c r="C8" s="13" t="s">
        <v>225</v>
      </c>
      <c r="D8" s="14" t="s">
        <v>1504</v>
      </c>
    </row>
    <row r="9" spans="1:4" x14ac:dyDescent="0.25">
      <c r="A9" s="20" t="s">
        <v>299</v>
      </c>
      <c r="B9" s="21" t="s">
        <v>1081</v>
      </c>
      <c r="C9" s="11" t="s">
        <v>206</v>
      </c>
      <c r="D9" s="12" t="s">
        <v>1505</v>
      </c>
    </row>
    <row r="10" spans="1:4" x14ac:dyDescent="0.25">
      <c r="A10" s="20" t="s">
        <v>601</v>
      </c>
      <c r="B10" s="21" t="s">
        <v>1500</v>
      </c>
      <c r="C10" s="13" t="s">
        <v>206</v>
      </c>
      <c r="D10" s="14" t="s">
        <v>1506</v>
      </c>
    </row>
    <row r="11" spans="1:4" x14ac:dyDescent="0.25">
      <c r="A11" s="20" t="s">
        <v>234</v>
      </c>
      <c r="B11" s="21"/>
      <c r="C11" s="11"/>
      <c r="D11" s="12"/>
    </row>
    <row r="12" spans="1:4" x14ac:dyDescent="0.25">
      <c r="A12" s="20" t="s">
        <v>235</v>
      </c>
      <c r="B12" s="21"/>
      <c r="C12" s="13"/>
      <c r="D12" s="14"/>
    </row>
    <row r="14" spans="1:4" ht="15.75" customHeight="1" x14ac:dyDescent="0.25">
      <c r="A14" s="22" t="s">
        <v>236</v>
      </c>
      <c r="C14" s="71" t="str">
        <f>COUNTA(B5:B12)&amp;" of 8 parameters filled"</f>
        <v>6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2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37" style="1" bestFit="1" customWidth="1"/>
    <col min="3" max="3" width="4.140625" style="1" bestFit="1" customWidth="1"/>
    <col min="4" max="4" width="75.7109375" style="1" bestFit="1" customWidth="1"/>
  </cols>
  <sheetData>
    <row r="1" spans="1:4" ht="15.75" x14ac:dyDescent="0.25">
      <c r="A1" s="78" t="s">
        <v>602</v>
      </c>
      <c r="B1" s="65"/>
      <c r="C1" s="65"/>
      <c r="D1" s="65"/>
    </row>
    <row r="2" spans="1:4" x14ac:dyDescent="0.25">
      <c r="A2" s="64" t="s">
        <v>603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604</v>
      </c>
      <c r="B5" s="24">
        <v>350</v>
      </c>
      <c r="C5" s="11" t="s">
        <v>228</v>
      </c>
      <c r="D5" s="12" t="s">
        <v>1509</v>
      </c>
    </row>
    <row r="6" spans="1:4" x14ac:dyDescent="0.25">
      <c r="A6" s="23" t="s">
        <v>605</v>
      </c>
      <c r="B6" s="24">
        <v>400</v>
      </c>
      <c r="C6" s="13" t="s">
        <v>228</v>
      </c>
      <c r="D6" s="14" t="s">
        <v>1510</v>
      </c>
    </row>
    <row r="7" spans="1:4" x14ac:dyDescent="0.25">
      <c r="A7" s="23" t="s">
        <v>606</v>
      </c>
      <c r="B7" s="24">
        <v>500</v>
      </c>
      <c r="C7" s="11" t="s">
        <v>228</v>
      </c>
      <c r="D7" s="12" t="s">
        <v>1511</v>
      </c>
    </row>
    <row r="8" spans="1:4" x14ac:dyDescent="0.25">
      <c r="A8" s="23" t="s">
        <v>427</v>
      </c>
      <c r="B8" s="24">
        <v>3</v>
      </c>
      <c r="C8" s="13" t="s">
        <v>206</v>
      </c>
      <c r="D8" s="14" t="s">
        <v>1512</v>
      </c>
    </row>
    <row r="9" spans="1:4" x14ac:dyDescent="0.25">
      <c r="A9" s="23" t="s">
        <v>597</v>
      </c>
      <c r="B9" s="24" t="s">
        <v>1253</v>
      </c>
      <c r="C9" s="11" t="s">
        <v>206</v>
      </c>
      <c r="D9" s="12" t="s">
        <v>1513</v>
      </c>
    </row>
    <row r="10" spans="1:4" x14ac:dyDescent="0.25">
      <c r="A10" s="23" t="s">
        <v>607</v>
      </c>
      <c r="B10" s="24" t="s">
        <v>1507</v>
      </c>
      <c r="C10" s="13" t="s">
        <v>206</v>
      </c>
      <c r="D10" s="14" t="s">
        <v>1514</v>
      </c>
    </row>
    <row r="11" spans="1:4" x14ac:dyDescent="0.25">
      <c r="A11" s="23" t="s">
        <v>608</v>
      </c>
      <c r="B11" s="24">
        <v>25</v>
      </c>
      <c r="C11" s="11" t="s">
        <v>319</v>
      </c>
      <c r="D11" s="12" t="s">
        <v>1515</v>
      </c>
    </row>
    <row r="12" spans="1:4" x14ac:dyDescent="0.25">
      <c r="A12" s="23" t="s">
        <v>609</v>
      </c>
      <c r="B12" s="24" t="s">
        <v>1508</v>
      </c>
      <c r="C12" s="13" t="s">
        <v>206</v>
      </c>
      <c r="D12" s="14" t="s">
        <v>1516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6" spans="1:4" ht="15.75" customHeight="1" x14ac:dyDescent="0.25">
      <c r="A16" s="2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2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15"/>
  <sheetViews>
    <sheetView showGridLines="0" zoomScale="85" zoomScaleNormal="85" workbookViewId="0">
      <selection activeCell="D8" sqref="D8"/>
    </sheetView>
  </sheetViews>
  <sheetFormatPr defaultColWidth="8.7109375" defaultRowHeight="15" x14ac:dyDescent="0.25"/>
  <cols>
    <col min="1" max="1" width="36" style="1" customWidth="1"/>
    <col min="2" max="2" width="35.140625" style="1" bestFit="1" customWidth="1"/>
    <col min="3" max="3" width="7.42578125" style="1" bestFit="1" customWidth="1"/>
    <col min="4" max="4" width="255.7109375" style="1" bestFit="1" customWidth="1"/>
  </cols>
  <sheetData>
    <row r="1" spans="1:24" ht="15.75" x14ac:dyDescent="0.25">
      <c r="A1" s="78" t="s">
        <v>610</v>
      </c>
      <c r="B1" s="65"/>
      <c r="C1" s="65"/>
      <c r="D1" s="65"/>
    </row>
    <row r="2" spans="1:24" x14ac:dyDescent="0.25">
      <c r="A2" s="64" t="s">
        <v>611</v>
      </c>
      <c r="B2" s="65"/>
      <c r="C2" s="65"/>
      <c r="D2" s="65"/>
    </row>
    <row r="3" spans="1:24" ht="6" customHeight="1" x14ac:dyDescent="0.25"/>
    <row r="4" spans="1:2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24" x14ac:dyDescent="0.25">
      <c r="A5" s="23" t="s">
        <v>612</v>
      </c>
      <c r="B5" s="24">
        <v>28</v>
      </c>
      <c r="C5" s="11" t="s">
        <v>548</v>
      </c>
      <c r="D5" s="12" t="s">
        <v>1518</v>
      </c>
    </row>
    <row r="6" spans="1:24" x14ac:dyDescent="0.25">
      <c r="A6" s="23" t="s">
        <v>613</v>
      </c>
      <c r="B6" s="24">
        <v>7</v>
      </c>
      <c r="C6" s="13" t="s">
        <v>548</v>
      </c>
      <c r="D6" s="14" t="s">
        <v>1519</v>
      </c>
    </row>
    <row r="7" spans="1:24" x14ac:dyDescent="0.25">
      <c r="A7" s="23" t="s">
        <v>614</v>
      </c>
      <c r="B7" s="24">
        <v>75</v>
      </c>
      <c r="C7" s="11" t="s">
        <v>444</v>
      </c>
      <c r="D7" s="62" t="s">
        <v>2098</v>
      </c>
    </row>
    <row r="8" spans="1:24" x14ac:dyDescent="0.25">
      <c r="A8" s="23" t="s">
        <v>615</v>
      </c>
      <c r="B8" s="44">
        <v>0.1673611111111111</v>
      </c>
      <c r="C8" s="13" t="s">
        <v>616</v>
      </c>
      <c r="D8" s="14" t="s">
        <v>2109</v>
      </c>
    </row>
    <row r="9" spans="1:24" x14ac:dyDescent="0.25">
      <c r="A9" s="23" t="s">
        <v>617</v>
      </c>
      <c r="B9" s="24">
        <v>2000</v>
      </c>
      <c r="C9" s="11" t="s">
        <v>618</v>
      </c>
      <c r="D9" s="12" t="s">
        <v>1520</v>
      </c>
    </row>
    <row r="10" spans="1:24" x14ac:dyDescent="0.25">
      <c r="A10" s="23" t="s">
        <v>619</v>
      </c>
      <c r="B10" s="24">
        <v>4</v>
      </c>
      <c r="C10" s="13" t="s">
        <v>620</v>
      </c>
      <c r="D10" s="14" t="s">
        <v>1521</v>
      </c>
    </row>
    <row r="11" spans="1:24" x14ac:dyDescent="0.25">
      <c r="A11" s="23" t="s">
        <v>621</v>
      </c>
      <c r="B11" s="24" t="s">
        <v>1517</v>
      </c>
      <c r="C11" s="11" t="s">
        <v>206</v>
      </c>
      <c r="D11" s="12" t="s">
        <v>1522</v>
      </c>
    </row>
    <row r="12" spans="1:24" x14ac:dyDescent="0.25">
      <c r="A12" s="23" t="s">
        <v>234</v>
      </c>
      <c r="B12" s="24"/>
      <c r="C12" s="13"/>
      <c r="D12" s="14"/>
    </row>
    <row r="13" spans="1:24" x14ac:dyDescent="0.25">
      <c r="A13" s="23" t="s">
        <v>235</v>
      </c>
      <c r="B13" s="24"/>
      <c r="C13" s="11"/>
      <c r="D13" s="12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</row>
    <row r="15" spans="1:24" ht="15.75" customHeight="1" x14ac:dyDescent="0.25">
      <c r="A15" s="2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2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7"/>
  <sheetViews>
    <sheetView showGridLines="0" zoomScaleNormal="100" workbookViewId="0">
      <selection activeCell="D9" sqref="D9"/>
    </sheetView>
  </sheetViews>
  <sheetFormatPr defaultColWidth="8.7109375" defaultRowHeight="15" x14ac:dyDescent="0.25"/>
  <cols>
    <col min="1" max="1" width="36" style="1" customWidth="1"/>
    <col min="2" max="2" width="25.5703125" style="1" bestFit="1" customWidth="1"/>
    <col min="3" max="3" width="5.7109375" style="1" bestFit="1" customWidth="1"/>
    <col min="4" max="4" width="80.7109375" style="1" bestFit="1" customWidth="1"/>
  </cols>
  <sheetData>
    <row r="1" spans="1:4" ht="15.75" x14ac:dyDescent="0.25">
      <c r="A1" s="78" t="s">
        <v>1523</v>
      </c>
      <c r="B1" s="65"/>
      <c r="C1" s="65"/>
      <c r="D1" s="65"/>
    </row>
    <row r="2" spans="1:4" x14ac:dyDescent="0.25">
      <c r="A2" s="64" t="s">
        <v>622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623</v>
      </c>
      <c r="B5" s="24" t="s">
        <v>1524</v>
      </c>
      <c r="C5" s="11" t="s">
        <v>206</v>
      </c>
      <c r="D5" s="12" t="s">
        <v>1526</v>
      </c>
    </row>
    <row r="6" spans="1:4" x14ac:dyDescent="0.25">
      <c r="A6" s="23" t="s">
        <v>624</v>
      </c>
      <c r="B6" s="24">
        <v>400</v>
      </c>
      <c r="C6" s="13" t="s">
        <v>228</v>
      </c>
      <c r="D6" s="14" t="s">
        <v>1527</v>
      </c>
    </row>
    <row r="7" spans="1:4" x14ac:dyDescent="0.25">
      <c r="A7" s="23" t="s">
        <v>625</v>
      </c>
      <c r="B7" s="24">
        <v>220</v>
      </c>
      <c r="C7" s="11" t="s">
        <v>228</v>
      </c>
      <c r="D7" s="12" t="s">
        <v>1528</v>
      </c>
    </row>
    <row r="8" spans="1:4" x14ac:dyDescent="0.25">
      <c r="A8" s="23" t="s">
        <v>626</v>
      </c>
      <c r="B8" s="24">
        <v>20</v>
      </c>
      <c r="C8" s="13" t="s">
        <v>228</v>
      </c>
      <c r="D8" s="14" t="s">
        <v>1529</v>
      </c>
    </row>
    <row r="9" spans="1:4" x14ac:dyDescent="0.25">
      <c r="A9" s="23" t="s">
        <v>627</v>
      </c>
      <c r="B9" s="24">
        <v>150</v>
      </c>
      <c r="C9" s="11" t="s">
        <v>228</v>
      </c>
      <c r="D9" s="12" t="s">
        <v>2110</v>
      </c>
    </row>
    <row r="10" spans="1:4" x14ac:dyDescent="0.25">
      <c r="A10" s="23" t="s">
        <v>628</v>
      </c>
      <c r="B10" s="24">
        <v>5</v>
      </c>
      <c r="C10" s="13" t="s">
        <v>257</v>
      </c>
      <c r="D10" s="14" t="s">
        <v>1530</v>
      </c>
    </row>
    <row r="11" spans="1:4" x14ac:dyDescent="0.25">
      <c r="A11" s="23" t="s">
        <v>629</v>
      </c>
      <c r="B11" s="24" t="s">
        <v>1525</v>
      </c>
      <c r="C11" s="11" t="s">
        <v>206</v>
      </c>
      <c r="D11" s="12" t="s">
        <v>1531</v>
      </c>
    </row>
    <row r="12" spans="1:4" x14ac:dyDescent="0.25">
      <c r="A12" s="23" t="s">
        <v>630</v>
      </c>
      <c r="B12" s="24" t="s">
        <v>1372</v>
      </c>
      <c r="C12" s="13" t="s">
        <v>206</v>
      </c>
      <c r="D12" s="14" t="s">
        <v>1532</v>
      </c>
    </row>
    <row r="13" spans="1:4" x14ac:dyDescent="0.25">
      <c r="A13" s="23" t="s">
        <v>631</v>
      </c>
      <c r="B13" s="24">
        <v>0.1</v>
      </c>
      <c r="C13" s="11" t="s">
        <v>365</v>
      </c>
      <c r="D13" s="12" t="s">
        <v>1533</v>
      </c>
    </row>
    <row r="14" spans="1:4" x14ac:dyDescent="0.25">
      <c r="A14" s="23" t="s">
        <v>234</v>
      </c>
      <c r="B14" s="24"/>
      <c r="C14" s="13"/>
      <c r="D14" s="14"/>
    </row>
    <row r="15" spans="1:4" x14ac:dyDescent="0.25">
      <c r="A15" s="23" t="s">
        <v>235</v>
      </c>
      <c r="B15" s="24"/>
      <c r="C15" s="11"/>
      <c r="D15" s="12"/>
    </row>
    <row r="17" spans="1:4" ht="15.75" customHeight="1" x14ac:dyDescent="0.25">
      <c r="A17" s="25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3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6"/>
  <sheetViews>
    <sheetView showGridLines="0" zoomScale="85" zoomScaleNormal="85" workbookViewId="0">
      <selection activeCell="D12" sqref="D12"/>
    </sheetView>
  </sheetViews>
  <sheetFormatPr defaultColWidth="8.7109375" defaultRowHeight="15" x14ac:dyDescent="0.25"/>
  <cols>
    <col min="1" max="1" width="36" style="1" customWidth="1"/>
    <col min="2" max="2" width="38" style="1" bestFit="1" customWidth="1"/>
    <col min="3" max="3" width="9.85546875" style="1" bestFit="1" customWidth="1"/>
    <col min="4" max="4" width="243.7109375" style="1" bestFit="1" customWidth="1"/>
  </cols>
  <sheetData>
    <row r="1" spans="1:4" ht="15.75" x14ac:dyDescent="0.25">
      <c r="A1" s="78" t="s">
        <v>1534</v>
      </c>
      <c r="B1" s="65"/>
      <c r="C1" s="65"/>
      <c r="D1" s="65"/>
    </row>
    <row r="2" spans="1:4" x14ac:dyDescent="0.25">
      <c r="A2" s="64" t="s">
        <v>632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604</v>
      </c>
      <c r="B5" s="24">
        <v>220</v>
      </c>
      <c r="C5" s="11" t="s">
        <v>228</v>
      </c>
      <c r="D5" s="12" t="s">
        <v>1537</v>
      </c>
    </row>
    <row r="6" spans="1:4" x14ac:dyDescent="0.25">
      <c r="A6" s="23" t="s">
        <v>605</v>
      </c>
      <c r="B6" s="24">
        <v>240</v>
      </c>
      <c r="C6" s="13" t="s">
        <v>228</v>
      </c>
      <c r="D6" s="14" t="s">
        <v>1538</v>
      </c>
    </row>
    <row r="7" spans="1:4" x14ac:dyDescent="0.25">
      <c r="A7" s="23" t="s">
        <v>613</v>
      </c>
      <c r="B7" s="24">
        <v>4.2</v>
      </c>
      <c r="C7" s="11" t="s">
        <v>548</v>
      </c>
      <c r="D7" s="62" t="s">
        <v>2099</v>
      </c>
    </row>
    <row r="8" spans="1:4" x14ac:dyDescent="0.25">
      <c r="A8" s="23" t="s">
        <v>607</v>
      </c>
      <c r="B8" s="24" t="s">
        <v>1535</v>
      </c>
      <c r="C8" s="13" t="s">
        <v>206</v>
      </c>
      <c r="D8" s="14" t="s">
        <v>1539</v>
      </c>
    </row>
    <row r="9" spans="1:4" x14ac:dyDescent="0.25">
      <c r="A9" s="23" t="s">
        <v>608</v>
      </c>
      <c r="B9" s="24">
        <v>35</v>
      </c>
      <c r="C9" s="11" t="s">
        <v>319</v>
      </c>
      <c r="D9" s="12" t="s">
        <v>1540</v>
      </c>
    </row>
    <row r="10" spans="1:4" x14ac:dyDescent="0.25">
      <c r="A10" s="23" t="s">
        <v>606</v>
      </c>
      <c r="B10" s="24">
        <v>260</v>
      </c>
      <c r="C10" s="13" t="s">
        <v>228</v>
      </c>
      <c r="D10" s="14" t="s">
        <v>1541</v>
      </c>
    </row>
    <row r="11" spans="1:4" x14ac:dyDescent="0.25">
      <c r="A11" s="23" t="s">
        <v>633</v>
      </c>
      <c r="B11" s="24" t="s">
        <v>1536</v>
      </c>
      <c r="C11" s="11" t="s">
        <v>634</v>
      </c>
      <c r="D11" s="12" t="s">
        <v>1542</v>
      </c>
    </row>
    <row r="12" spans="1:4" x14ac:dyDescent="0.25">
      <c r="A12" s="23" t="s">
        <v>609</v>
      </c>
      <c r="B12" s="24" t="s">
        <v>1525</v>
      </c>
      <c r="C12" s="13" t="s">
        <v>206</v>
      </c>
      <c r="D12" s="14" t="s">
        <v>2111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6" spans="1:4" ht="15.75" customHeight="1" x14ac:dyDescent="0.25">
      <c r="A16" s="2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3100-000000000000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5"/>
  <sheetViews>
    <sheetView showGridLines="0" zoomScale="85" zoomScaleNormal="85" workbookViewId="0">
      <selection activeCell="D9" sqref="D9"/>
    </sheetView>
  </sheetViews>
  <sheetFormatPr defaultColWidth="8.7109375" defaultRowHeight="15" x14ac:dyDescent="0.25"/>
  <cols>
    <col min="1" max="1" width="36" style="1" customWidth="1"/>
    <col min="2" max="2" width="99.140625" style="1" bestFit="1" customWidth="1"/>
    <col min="3" max="3" width="7.42578125" style="1" bestFit="1" customWidth="1"/>
    <col min="4" max="4" width="82.28515625" style="1" bestFit="1" customWidth="1"/>
  </cols>
  <sheetData>
    <row r="1" spans="1:4" ht="15.75" x14ac:dyDescent="0.25">
      <c r="A1" s="78" t="s">
        <v>1543</v>
      </c>
      <c r="B1" s="65"/>
      <c r="C1" s="65"/>
      <c r="D1" s="65"/>
    </row>
    <row r="2" spans="1:4" x14ac:dyDescent="0.25">
      <c r="A2" s="64" t="s">
        <v>635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636</v>
      </c>
      <c r="B5" s="24">
        <v>45</v>
      </c>
      <c r="C5" s="11" t="s">
        <v>352</v>
      </c>
      <c r="D5" s="12" t="s">
        <v>1546</v>
      </c>
    </row>
    <row r="6" spans="1:4" x14ac:dyDescent="0.25">
      <c r="A6" s="23" t="s">
        <v>364</v>
      </c>
      <c r="B6" s="24">
        <v>5</v>
      </c>
      <c r="C6" s="13" t="s">
        <v>365</v>
      </c>
      <c r="D6" s="14" t="s">
        <v>1547</v>
      </c>
    </row>
    <row r="7" spans="1:4" x14ac:dyDescent="0.25">
      <c r="A7" s="23" t="s">
        <v>637</v>
      </c>
      <c r="B7" s="24">
        <v>350</v>
      </c>
      <c r="C7" s="11" t="s">
        <v>228</v>
      </c>
      <c r="D7" s="12" t="s">
        <v>1548</v>
      </c>
    </row>
    <row r="8" spans="1:4" x14ac:dyDescent="0.25">
      <c r="A8" s="23" t="s">
        <v>638</v>
      </c>
      <c r="B8" s="24" t="s">
        <v>1544</v>
      </c>
      <c r="C8" s="13" t="s">
        <v>206</v>
      </c>
      <c r="D8" s="14" t="s">
        <v>1549</v>
      </c>
    </row>
    <row r="9" spans="1:4" x14ac:dyDescent="0.25">
      <c r="A9" s="23" t="s">
        <v>288</v>
      </c>
      <c r="B9" s="24" t="s">
        <v>1545</v>
      </c>
      <c r="C9" s="11" t="s">
        <v>206</v>
      </c>
      <c r="D9" s="12" t="s">
        <v>2112</v>
      </c>
    </row>
    <row r="10" spans="1:4" x14ac:dyDescent="0.25">
      <c r="A10" s="23" t="s">
        <v>639</v>
      </c>
      <c r="B10" s="44">
        <v>0.1673611111111111</v>
      </c>
      <c r="C10" s="13" t="s">
        <v>616</v>
      </c>
      <c r="D10" s="14" t="s">
        <v>1550</v>
      </c>
    </row>
    <row r="11" spans="1:4" x14ac:dyDescent="0.25">
      <c r="A11" s="23" t="s">
        <v>355</v>
      </c>
      <c r="B11" s="24" t="s">
        <v>1151</v>
      </c>
      <c r="C11" s="11" t="s">
        <v>206</v>
      </c>
      <c r="D11" s="12" t="s">
        <v>1551</v>
      </c>
    </row>
    <row r="12" spans="1:4" x14ac:dyDescent="0.25">
      <c r="A12" s="23" t="s">
        <v>234</v>
      </c>
      <c r="B12" s="24"/>
      <c r="C12" s="13"/>
      <c r="D12" s="14"/>
    </row>
    <row r="13" spans="1:4" x14ac:dyDescent="0.25">
      <c r="A13" s="23" t="s">
        <v>235</v>
      </c>
      <c r="B13" s="24"/>
      <c r="C13" s="11"/>
      <c r="D13" s="12"/>
    </row>
    <row r="15" spans="1:4" ht="15.75" customHeight="1" x14ac:dyDescent="0.25">
      <c r="A15" s="2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3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86.140625" style="1" bestFit="1" customWidth="1"/>
    <col min="3" max="3" width="4.7109375" style="1" bestFit="1" customWidth="1"/>
    <col min="4" max="4" width="95.28515625" style="1" bestFit="1" customWidth="1"/>
  </cols>
  <sheetData>
    <row r="1" spans="1:4" ht="15.75" x14ac:dyDescent="0.25">
      <c r="A1" s="78" t="s">
        <v>640</v>
      </c>
      <c r="B1" s="65"/>
      <c r="C1" s="65"/>
      <c r="D1" s="65"/>
    </row>
    <row r="2" spans="1:4" x14ac:dyDescent="0.25">
      <c r="A2" s="64" t="s">
        <v>641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642</v>
      </c>
      <c r="B5" s="24">
        <v>99.97</v>
      </c>
      <c r="C5" s="11" t="s">
        <v>548</v>
      </c>
      <c r="D5" s="12" t="s">
        <v>1554</v>
      </c>
    </row>
    <row r="6" spans="1:4" x14ac:dyDescent="0.25">
      <c r="A6" s="23" t="s">
        <v>643</v>
      </c>
      <c r="B6" s="24">
        <v>99.95</v>
      </c>
      <c r="C6" s="13" t="s">
        <v>548</v>
      </c>
      <c r="D6" s="14" t="s">
        <v>1555</v>
      </c>
    </row>
    <row r="7" spans="1:4" x14ac:dyDescent="0.25">
      <c r="A7" s="23" t="s">
        <v>644</v>
      </c>
      <c r="B7" s="24">
        <v>55</v>
      </c>
      <c r="C7" s="11" t="s">
        <v>548</v>
      </c>
      <c r="D7" s="12" t="s">
        <v>1556</v>
      </c>
    </row>
    <row r="8" spans="1:4" x14ac:dyDescent="0.25">
      <c r="A8" s="23" t="s">
        <v>645</v>
      </c>
      <c r="B8" s="24">
        <v>4</v>
      </c>
      <c r="C8" s="13" t="s">
        <v>206</v>
      </c>
      <c r="D8" s="14" t="s">
        <v>1557</v>
      </c>
    </row>
    <row r="9" spans="1:4" x14ac:dyDescent="0.25">
      <c r="A9" s="23" t="s">
        <v>646</v>
      </c>
      <c r="B9" s="24" t="s">
        <v>1552</v>
      </c>
      <c r="C9" s="11" t="s">
        <v>206</v>
      </c>
      <c r="D9" s="12" t="s">
        <v>1558</v>
      </c>
    </row>
    <row r="10" spans="1:4" x14ac:dyDescent="0.25">
      <c r="A10" s="23" t="s">
        <v>647</v>
      </c>
      <c r="B10" s="24" t="s">
        <v>1553</v>
      </c>
      <c r="C10" s="13" t="s">
        <v>206</v>
      </c>
      <c r="D10" s="14" t="s">
        <v>1559</v>
      </c>
    </row>
    <row r="11" spans="1:4" x14ac:dyDescent="0.25">
      <c r="A11" s="23" t="s">
        <v>648</v>
      </c>
      <c r="B11" s="24">
        <v>60</v>
      </c>
      <c r="C11" s="11" t="s">
        <v>298</v>
      </c>
      <c r="D11" s="12" t="s">
        <v>1560</v>
      </c>
    </row>
    <row r="12" spans="1:4" x14ac:dyDescent="0.25">
      <c r="A12" s="23" t="s">
        <v>299</v>
      </c>
      <c r="B12" s="24" t="s">
        <v>1081</v>
      </c>
      <c r="C12" s="13" t="s">
        <v>206</v>
      </c>
      <c r="D12" s="14" t="s">
        <v>1561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6" spans="1:4" ht="15.75" customHeight="1" x14ac:dyDescent="0.25">
      <c r="A16" s="25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3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5"/>
  <sheetViews>
    <sheetView showGridLines="0" zoomScale="115" zoomScaleNormal="11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69.140625" style="1" bestFit="1" customWidth="1"/>
    <col min="3" max="3" width="7" style="1" bestFit="1" customWidth="1"/>
    <col min="4" max="4" width="106" style="1" bestFit="1" customWidth="1"/>
  </cols>
  <sheetData>
    <row r="1" spans="1:4" ht="15.75" x14ac:dyDescent="0.25">
      <c r="A1" s="78" t="s">
        <v>649</v>
      </c>
      <c r="B1" s="65"/>
      <c r="C1" s="65"/>
      <c r="D1" s="65"/>
    </row>
    <row r="2" spans="1:4" x14ac:dyDescent="0.25">
      <c r="A2" s="64" t="s">
        <v>650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651</v>
      </c>
      <c r="B5" s="24">
        <v>75</v>
      </c>
      <c r="C5" s="11" t="s">
        <v>444</v>
      </c>
      <c r="D5" s="12" t="s">
        <v>1565</v>
      </c>
    </row>
    <row r="6" spans="1:4" x14ac:dyDescent="0.25">
      <c r="A6" s="23" t="s">
        <v>652</v>
      </c>
      <c r="B6" s="24">
        <v>50</v>
      </c>
      <c r="C6" s="13" t="s">
        <v>350</v>
      </c>
      <c r="D6" s="14" t="s">
        <v>1566</v>
      </c>
    </row>
    <row r="7" spans="1:4" x14ac:dyDescent="0.25">
      <c r="A7" s="23" t="s">
        <v>653</v>
      </c>
      <c r="B7" s="24">
        <v>20.6</v>
      </c>
      <c r="C7" s="11" t="s">
        <v>350</v>
      </c>
      <c r="D7" s="12" t="s">
        <v>1567</v>
      </c>
    </row>
    <row r="8" spans="1:4" x14ac:dyDescent="0.25">
      <c r="A8" s="23" t="s">
        <v>654</v>
      </c>
      <c r="B8" s="24">
        <v>29.4</v>
      </c>
      <c r="C8" s="13" t="s">
        <v>350</v>
      </c>
      <c r="D8" s="14" t="s">
        <v>1568</v>
      </c>
    </row>
    <row r="9" spans="1:4" x14ac:dyDescent="0.25">
      <c r="A9" s="23" t="s">
        <v>655</v>
      </c>
      <c r="B9" s="24" t="s">
        <v>1562</v>
      </c>
      <c r="C9" s="11" t="s">
        <v>206</v>
      </c>
      <c r="D9" s="12" t="s">
        <v>1569</v>
      </c>
    </row>
    <row r="10" spans="1:4" x14ac:dyDescent="0.25">
      <c r="A10" s="23" t="s">
        <v>656</v>
      </c>
      <c r="B10" s="24" t="s">
        <v>1563</v>
      </c>
      <c r="C10" s="13" t="s">
        <v>569</v>
      </c>
      <c r="D10" s="14" t="s">
        <v>1570</v>
      </c>
    </row>
    <row r="11" spans="1:4" x14ac:dyDescent="0.25">
      <c r="A11" s="23" t="s">
        <v>657</v>
      </c>
      <c r="B11" s="24" t="s">
        <v>1564</v>
      </c>
      <c r="C11" s="11" t="s">
        <v>206</v>
      </c>
      <c r="D11" s="12" t="s">
        <v>1571</v>
      </c>
    </row>
    <row r="12" spans="1:4" x14ac:dyDescent="0.25">
      <c r="A12" s="23" t="s">
        <v>234</v>
      </c>
      <c r="B12" s="24"/>
      <c r="C12" s="13"/>
      <c r="D12" s="14"/>
    </row>
    <row r="13" spans="1:4" x14ac:dyDescent="0.25">
      <c r="A13" s="23" t="s">
        <v>235</v>
      </c>
      <c r="B13" s="24"/>
      <c r="C13" s="11"/>
      <c r="D13" s="12"/>
    </row>
    <row r="15" spans="1:4" ht="15.75" customHeight="1" x14ac:dyDescent="0.25">
      <c r="A15" s="2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3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5.85546875" style="1" bestFit="1" customWidth="1"/>
    <col min="3" max="3" width="6.7109375" style="1" bestFit="1" customWidth="1"/>
    <col min="4" max="4" width="116" style="1" bestFit="1" customWidth="1"/>
  </cols>
  <sheetData>
    <row r="1" spans="1:4" ht="15.75" x14ac:dyDescent="0.25">
      <c r="A1" s="78" t="s">
        <v>658</v>
      </c>
      <c r="B1" s="65"/>
      <c r="C1" s="65"/>
      <c r="D1" s="65"/>
    </row>
    <row r="2" spans="1:4" x14ac:dyDescent="0.25">
      <c r="A2" s="64" t="s">
        <v>659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660</v>
      </c>
      <c r="B5" s="24">
        <v>7</v>
      </c>
      <c r="C5" s="11" t="s">
        <v>365</v>
      </c>
      <c r="D5" s="12" t="s">
        <v>1573</v>
      </c>
    </row>
    <row r="6" spans="1:4" x14ac:dyDescent="0.25">
      <c r="A6" s="23" t="s">
        <v>661</v>
      </c>
      <c r="B6" s="24">
        <v>0.2</v>
      </c>
      <c r="C6" s="13" t="s">
        <v>365</v>
      </c>
      <c r="D6" s="14" t="s">
        <v>1574</v>
      </c>
    </row>
    <row r="7" spans="1:4" x14ac:dyDescent="0.25">
      <c r="A7" s="23" t="s">
        <v>662</v>
      </c>
      <c r="B7" s="24">
        <v>60</v>
      </c>
      <c r="C7" s="11" t="s">
        <v>298</v>
      </c>
      <c r="D7" s="12" t="s">
        <v>1575</v>
      </c>
    </row>
    <row r="8" spans="1:4" x14ac:dyDescent="0.25">
      <c r="A8" s="23" t="s">
        <v>663</v>
      </c>
      <c r="B8" s="24" t="s">
        <v>231</v>
      </c>
      <c r="C8" s="13" t="s">
        <v>232</v>
      </c>
      <c r="D8" s="14" t="s">
        <v>1576</v>
      </c>
    </row>
    <row r="9" spans="1:4" x14ac:dyDescent="0.25">
      <c r="A9" s="23" t="s">
        <v>664</v>
      </c>
      <c r="B9" s="24" t="s">
        <v>1572</v>
      </c>
      <c r="C9" s="11" t="s">
        <v>206</v>
      </c>
      <c r="D9" s="12" t="s">
        <v>1577</v>
      </c>
    </row>
    <row r="10" spans="1:4" x14ac:dyDescent="0.25">
      <c r="A10" s="23" t="s">
        <v>342</v>
      </c>
      <c r="B10" s="24" t="s">
        <v>1434</v>
      </c>
      <c r="C10" s="13" t="s">
        <v>310</v>
      </c>
      <c r="D10" s="14" t="s">
        <v>1578</v>
      </c>
    </row>
    <row r="11" spans="1:4" x14ac:dyDescent="0.25">
      <c r="A11" s="23" t="s">
        <v>665</v>
      </c>
      <c r="B11" s="24">
        <v>5</v>
      </c>
      <c r="C11" s="11" t="s">
        <v>206</v>
      </c>
      <c r="D11" s="12" t="s">
        <v>1579</v>
      </c>
    </row>
    <row r="12" spans="1:4" x14ac:dyDescent="0.25">
      <c r="A12" s="23" t="s">
        <v>234</v>
      </c>
      <c r="B12" s="24"/>
      <c r="C12" s="13"/>
      <c r="D12" s="14"/>
    </row>
    <row r="13" spans="1:4" x14ac:dyDescent="0.25">
      <c r="A13" s="23" t="s">
        <v>235</v>
      </c>
      <c r="B13" s="24"/>
      <c r="C13" s="11"/>
      <c r="D13" s="12"/>
    </row>
    <row r="15" spans="1:4" ht="15.75" customHeight="1" x14ac:dyDescent="0.25">
      <c r="A15" s="2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3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40.5703125" style="1" bestFit="1" customWidth="1"/>
    <col min="3" max="3" width="5.85546875" style="1" bestFit="1" customWidth="1"/>
    <col min="4" max="4" width="105.7109375" style="1" bestFit="1" customWidth="1"/>
  </cols>
  <sheetData>
    <row r="1" spans="1:4" ht="15.75" x14ac:dyDescent="0.25">
      <c r="A1" s="78" t="s">
        <v>666</v>
      </c>
      <c r="B1" s="65"/>
      <c r="C1" s="65"/>
      <c r="D1" s="65"/>
    </row>
    <row r="2" spans="1:4" x14ac:dyDescent="0.25">
      <c r="A2" s="64" t="s">
        <v>667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654</v>
      </c>
      <c r="B5" s="24">
        <v>29.4</v>
      </c>
      <c r="C5" s="11" t="s">
        <v>350</v>
      </c>
      <c r="D5" s="12" t="s">
        <v>1583</v>
      </c>
    </row>
    <row r="6" spans="1:4" x14ac:dyDescent="0.25">
      <c r="A6" s="23" t="s">
        <v>668</v>
      </c>
      <c r="B6" s="24" t="s">
        <v>1580</v>
      </c>
      <c r="C6" s="13" t="s">
        <v>548</v>
      </c>
      <c r="D6" s="14" t="s">
        <v>1584</v>
      </c>
    </row>
    <row r="7" spans="1:4" x14ac:dyDescent="0.25">
      <c r="A7" s="23" t="s">
        <v>669</v>
      </c>
      <c r="B7" s="24" t="s">
        <v>1369</v>
      </c>
      <c r="C7" s="11" t="s">
        <v>486</v>
      </c>
      <c r="D7" s="12" t="s">
        <v>1585</v>
      </c>
    </row>
    <row r="8" spans="1:4" x14ac:dyDescent="0.25">
      <c r="A8" s="23" t="s">
        <v>657</v>
      </c>
      <c r="B8" s="24" t="s">
        <v>1581</v>
      </c>
      <c r="C8" s="13" t="s">
        <v>206</v>
      </c>
      <c r="D8" s="14" t="s">
        <v>1586</v>
      </c>
    </row>
    <row r="9" spans="1:4" x14ac:dyDescent="0.25">
      <c r="A9" s="23" t="s">
        <v>670</v>
      </c>
      <c r="B9" s="24">
        <v>1</v>
      </c>
      <c r="C9" s="11" t="s">
        <v>389</v>
      </c>
      <c r="D9" s="12" t="s">
        <v>1587</v>
      </c>
    </row>
    <row r="10" spans="1:4" x14ac:dyDescent="0.25">
      <c r="A10" s="23" t="s">
        <v>671</v>
      </c>
      <c r="B10" s="24">
        <v>0.5</v>
      </c>
      <c r="C10" s="13" t="s">
        <v>257</v>
      </c>
      <c r="D10" s="14" t="s">
        <v>1588</v>
      </c>
    </row>
    <row r="11" spans="1:4" x14ac:dyDescent="0.25">
      <c r="A11" s="23" t="s">
        <v>672</v>
      </c>
      <c r="B11" s="24" t="s">
        <v>1582</v>
      </c>
      <c r="C11" s="11" t="s">
        <v>206</v>
      </c>
      <c r="D11" s="12" t="s">
        <v>1589</v>
      </c>
    </row>
    <row r="12" spans="1:4" x14ac:dyDescent="0.25">
      <c r="A12" s="23" t="s">
        <v>234</v>
      </c>
      <c r="B12" s="24"/>
      <c r="C12" s="13"/>
      <c r="D12" s="14"/>
    </row>
    <row r="13" spans="1:4" x14ac:dyDescent="0.25">
      <c r="A13" s="23" t="s">
        <v>235</v>
      </c>
      <c r="B13" s="24"/>
      <c r="C13" s="11"/>
      <c r="D13" s="12"/>
    </row>
    <row r="15" spans="1:4" ht="15.75" customHeight="1" x14ac:dyDescent="0.25">
      <c r="A15" s="25" t="s">
        <v>236</v>
      </c>
      <c r="C15" s="71" t="str">
        <f>COUNTA(B5:B13)&amp;" of 9 parameters filled"</f>
        <v>7 of 9 parameters filled</v>
      </c>
      <c r="D15" s="65"/>
    </row>
  </sheetData>
  <mergeCells count="3">
    <mergeCell ref="A1:D1"/>
    <mergeCell ref="A2:D2"/>
    <mergeCell ref="C15:D15"/>
  </mergeCells>
  <hyperlinks>
    <hyperlink ref="A15" location="INDEX!A1" display="&lt;&lt; Back to INDEX" xr:uid="{00000000-0004-0000-3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2"/>
  <sheetViews>
    <sheetView showGridLines="0" zoomScaleNormal="100" workbookViewId="0">
      <selection activeCell="A22" sqref="A22"/>
    </sheetView>
  </sheetViews>
  <sheetFormatPr defaultColWidth="8.7109375" defaultRowHeight="15" x14ac:dyDescent="0.25"/>
  <cols>
    <col min="1" max="1" width="36" style="1" customWidth="1"/>
    <col min="2" max="2" width="28" style="1" bestFit="1" customWidth="1"/>
    <col min="3" max="3" width="5.85546875" style="1" bestFit="1" customWidth="1"/>
    <col min="4" max="4" width="80.140625" style="1" bestFit="1" customWidth="1"/>
  </cols>
  <sheetData>
    <row r="1" spans="1:4" ht="15.75" x14ac:dyDescent="0.25">
      <c r="A1" s="78" t="s">
        <v>673</v>
      </c>
      <c r="B1" s="65"/>
      <c r="C1" s="65"/>
      <c r="D1" s="65"/>
    </row>
    <row r="2" spans="1:4" x14ac:dyDescent="0.25">
      <c r="A2" s="64" t="s">
        <v>674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675</v>
      </c>
      <c r="B5" s="24" t="s">
        <v>1590</v>
      </c>
      <c r="C5" s="11" t="s">
        <v>206</v>
      </c>
      <c r="D5" s="12" t="s">
        <v>1593</v>
      </c>
    </row>
    <row r="6" spans="1:4" x14ac:dyDescent="0.25">
      <c r="A6" s="23" t="s">
        <v>676</v>
      </c>
      <c r="B6" s="24" t="s">
        <v>1591</v>
      </c>
      <c r="C6" s="13" t="s">
        <v>206</v>
      </c>
      <c r="D6" s="14" t="s">
        <v>1594</v>
      </c>
    </row>
    <row r="7" spans="1:4" x14ac:dyDescent="0.25">
      <c r="A7" s="23" t="s">
        <v>677</v>
      </c>
      <c r="B7" s="24">
        <v>4.4000000000000004</v>
      </c>
      <c r="C7" s="11" t="s">
        <v>310</v>
      </c>
      <c r="D7" s="12" t="s">
        <v>1595</v>
      </c>
    </row>
    <row r="8" spans="1:4" x14ac:dyDescent="0.25">
      <c r="A8" s="23" t="s">
        <v>678</v>
      </c>
      <c r="B8" s="24" t="s">
        <v>1592</v>
      </c>
      <c r="C8" s="13" t="s">
        <v>548</v>
      </c>
      <c r="D8" s="14" t="s">
        <v>1596</v>
      </c>
    </row>
    <row r="9" spans="1:4" x14ac:dyDescent="0.25">
      <c r="A9" s="23" t="s">
        <v>679</v>
      </c>
      <c r="B9" s="24">
        <v>50</v>
      </c>
      <c r="C9" s="11" t="s">
        <v>680</v>
      </c>
      <c r="D9" s="12" t="s">
        <v>1597</v>
      </c>
    </row>
    <row r="10" spans="1:4" x14ac:dyDescent="0.25">
      <c r="A10" s="23" t="s">
        <v>681</v>
      </c>
      <c r="B10" s="24">
        <v>85</v>
      </c>
      <c r="C10" s="13" t="s">
        <v>444</v>
      </c>
      <c r="D10" s="14" t="s">
        <v>1598</v>
      </c>
    </row>
    <row r="11" spans="1:4" x14ac:dyDescent="0.25">
      <c r="A11" s="23" t="s">
        <v>652</v>
      </c>
      <c r="B11" s="24">
        <v>50</v>
      </c>
      <c r="C11" s="11" t="s">
        <v>350</v>
      </c>
      <c r="D11" s="12" t="s">
        <v>1599</v>
      </c>
    </row>
    <row r="12" spans="1:4" x14ac:dyDescent="0.25">
      <c r="A12" s="23" t="s">
        <v>653</v>
      </c>
      <c r="B12" s="24">
        <v>23.4</v>
      </c>
      <c r="C12" s="13" t="s">
        <v>350</v>
      </c>
      <c r="D12" s="14" t="s">
        <v>1600</v>
      </c>
    </row>
    <row r="13" spans="1:4" x14ac:dyDescent="0.25">
      <c r="A13" s="23" t="s">
        <v>289</v>
      </c>
      <c r="B13" s="24">
        <v>40</v>
      </c>
      <c r="C13" s="11" t="s">
        <v>228</v>
      </c>
      <c r="D13" s="12" t="s">
        <v>1601</v>
      </c>
    </row>
    <row r="14" spans="1:4" x14ac:dyDescent="0.25">
      <c r="A14" s="23" t="s">
        <v>682</v>
      </c>
      <c r="B14" s="24" t="s">
        <v>1218</v>
      </c>
      <c r="C14" s="13" t="s">
        <v>486</v>
      </c>
      <c r="D14" s="14" t="s">
        <v>1602</v>
      </c>
    </row>
    <row r="15" spans="1:4" x14ac:dyDescent="0.25">
      <c r="A15" s="23" t="s">
        <v>683</v>
      </c>
      <c r="B15" s="24">
        <v>20</v>
      </c>
      <c r="C15" s="11" t="s">
        <v>372</v>
      </c>
      <c r="D15" s="12" t="s">
        <v>1603</v>
      </c>
    </row>
    <row r="16" spans="1:4" x14ac:dyDescent="0.25">
      <c r="A16" s="23" t="s">
        <v>684</v>
      </c>
      <c r="B16" s="24">
        <v>2</v>
      </c>
      <c r="C16" s="13" t="s">
        <v>206</v>
      </c>
      <c r="D16" s="14" t="s">
        <v>1604</v>
      </c>
    </row>
    <row r="17" spans="1:4" x14ac:dyDescent="0.25">
      <c r="A17" s="23" t="s">
        <v>685</v>
      </c>
      <c r="B17" s="24">
        <v>0.3</v>
      </c>
      <c r="C17" s="11" t="s">
        <v>310</v>
      </c>
      <c r="D17" s="12" t="s">
        <v>1605</v>
      </c>
    </row>
    <row r="18" spans="1:4" x14ac:dyDescent="0.25">
      <c r="A18" s="23" t="s">
        <v>686</v>
      </c>
      <c r="B18" s="24">
        <v>3</v>
      </c>
      <c r="C18" s="13" t="s">
        <v>620</v>
      </c>
      <c r="D18" s="14" t="s">
        <v>1606</v>
      </c>
    </row>
    <row r="19" spans="1:4" x14ac:dyDescent="0.25">
      <c r="A19" s="23" t="s">
        <v>234</v>
      </c>
      <c r="B19" s="24"/>
      <c r="C19" s="11"/>
      <c r="D19" s="12"/>
    </row>
    <row r="20" spans="1:4" x14ac:dyDescent="0.25">
      <c r="A20" s="23" t="s">
        <v>235</v>
      </c>
      <c r="B20" s="24"/>
      <c r="C20" s="13"/>
      <c r="D20" s="14"/>
    </row>
    <row r="22" spans="1:4" ht="15.75" customHeight="1" x14ac:dyDescent="0.25">
      <c r="A22" s="25" t="s">
        <v>236</v>
      </c>
      <c r="C22" s="71" t="str">
        <f>COUNTA(B5:B20)&amp;" of 16 parameters filled"</f>
        <v>14 of 16 parameters filled</v>
      </c>
      <c r="D22" s="65"/>
    </row>
  </sheetData>
  <mergeCells count="3">
    <mergeCell ref="A1:D1"/>
    <mergeCell ref="C22:D22"/>
    <mergeCell ref="A2:D2"/>
  </mergeCells>
  <hyperlinks>
    <hyperlink ref="A22" location="INDEX!A1" display="&lt;&lt; Back to INDEX" xr:uid="{00000000-0004-0000-3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9"/>
  <sheetViews>
    <sheetView showGridLines="0" zoomScaleNormal="100" workbookViewId="0">
      <selection activeCell="A19" sqref="A19"/>
    </sheetView>
  </sheetViews>
  <sheetFormatPr defaultColWidth="8.7109375" defaultRowHeight="15" x14ac:dyDescent="0.25"/>
  <cols>
    <col min="1" max="1" width="36" style="1" customWidth="1"/>
    <col min="2" max="2" width="30.7109375" style="1" bestFit="1" customWidth="1"/>
    <col min="3" max="3" width="10.5703125" style="1" bestFit="1" customWidth="1"/>
    <col min="4" max="4" width="107.7109375" style="1" bestFit="1" customWidth="1"/>
  </cols>
  <sheetData>
    <row r="1" spans="1:4" ht="15.75" x14ac:dyDescent="0.25">
      <c r="A1" s="78" t="s">
        <v>687</v>
      </c>
      <c r="B1" s="65"/>
      <c r="C1" s="65"/>
      <c r="D1" s="65"/>
    </row>
    <row r="2" spans="1:4" x14ac:dyDescent="0.25">
      <c r="A2" s="64" t="s">
        <v>688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689</v>
      </c>
      <c r="B5" s="24" t="s">
        <v>1607</v>
      </c>
      <c r="C5" s="11" t="s">
        <v>206</v>
      </c>
      <c r="D5" s="12" t="s">
        <v>1612</v>
      </c>
    </row>
    <row r="6" spans="1:4" x14ac:dyDescent="0.25">
      <c r="A6" s="23" t="s">
        <v>690</v>
      </c>
      <c r="B6" s="24">
        <v>10</v>
      </c>
      <c r="C6" s="13" t="s">
        <v>257</v>
      </c>
      <c r="D6" s="14" t="s">
        <v>1613</v>
      </c>
    </row>
    <row r="7" spans="1:4" x14ac:dyDescent="0.25">
      <c r="A7" s="23" t="s">
        <v>691</v>
      </c>
      <c r="B7" s="24">
        <v>0.18</v>
      </c>
      <c r="C7" s="11" t="s">
        <v>350</v>
      </c>
      <c r="D7" s="12" t="s">
        <v>1614</v>
      </c>
    </row>
    <row r="8" spans="1:4" x14ac:dyDescent="0.25">
      <c r="A8" s="23" t="s">
        <v>692</v>
      </c>
      <c r="B8" s="24" t="s">
        <v>1608</v>
      </c>
      <c r="C8" s="13" t="s">
        <v>548</v>
      </c>
      <c r="D8" s="14" t="s">
        <v>1615</v>
      </c>
    </row>
    <row r="9" spans="1:4" x14ac:dyDescent="0.25">
      <c r="A9" s="23" t="s">
        <v>693</v>
      </c>
      <c r="B9" s="24">
        <v>55</v>
      </c>
      <c r="C9" s="11" t="s">
        <v>694</v>
      </c>
      <c r="D9" s="12" t="s">
        <v>1616</v>
      </c>
    </row>
    <row r="10" spans="1:4" x14ac:dyDescent="0.25">
      <c r="A10" s="23" t="s">
        <v>695</v>
      </c>
      <c r="B10" s="24">
        <v>15</v>
      </c>
      <c r="C10" s="13" t="s">
        <v>365</v>
      </c>
      <c r="D10" s="14" t="s">
        <v>1617</v>
      </c>
    </row>
    <row r="11" spans="1:4" x14ac:dyDescent="0.25">
      <c r="A11" s="23" t="s">
        <v>696</v>
      </c>
      <c r="B11" s="24" t="s">
        <v>1609</v>
      </c>
      <c r="C11" s="11" t="s">
        <v>697</v>
      </c>
      <c r="D11" s="12" t="s">
        <v>1618</v>
      </c>
    </row>
    <row r="12" spans="1:4" x14ac:dyDescent="0.25">
      <c r="A12" s="23" t="s">
        <v>698</v>
      </c>
      <c r="B12" s="24" t="s">
        <v>1610</v>
      </c>
      <c r="C12" s="13" t="s">
        <v>206</v>
      </c>
      <c r="D12" s="14" t="s">
        <v>1619</v>
      </c>
    </row>
    <row r="13" spans="1:4" x14ac:dyDescent="0.25">
      <c r="A13" s="23" t="s">
        <v>699</v>
      </c>
      <c r="B13" s="24">
        <v>60000</v>
      </c>
      <c r="C13" s="11" t="s">
        <v>472</v>
      </c>
      <c r="D13" s="12" t="s">
        <v>1620</v>
      </c>
    </row>
    <row r="14" spans="1:4" x14ac:dyDescent="0.25">
      <c r="A14" s="23" t="s">
        <v>700</v>
      </c>
      <c r="B14" s="24">
        <v>5</v>
      </c>
      <c r="C14" s="13" t="s">
        <v>372</v>
      </c>
      <c r="D14" s="14" t="s">
        <v>1621</v>
      </c>
    </row>
    <row r="15" spans="1:4" x14ac:dyDescent="0.25">
      <c r="A15" s="23" t="s">
        <v>701</v>
      </c>
      <c r="B15" s="24" t="s">
        <v>1611</v>
      </c>
      <c r="C15" s="11" t="s">
        <v>702</v>
      </c>
      <c r="D15" s="12" t="s">
        <v>1622</v>
      </c>
    </row>
    <row r="16" spans="1:4" x14ac:dyDescent="0.25">
      <c r="A16" s="23" t="s">
        <v>234</v>
      </c>
      <c r="B16" s="24"/>
      <c r="C16" s="13"/>
      <c r="D16" s="14"/>
    </row>
    <row r="17" spans="1:4" x14ac:dyDescent="0.25">
      <c r="A17" s="23" t="s">
        <v>235</v>
      </c>
      <c r="B17" s="24"/>
      <c r="C17" s="11"/>
      <c r="D17" s="12"/>
    </row>
    <row r="19" spans="1:4" ht="15.75" customHeight="1" x14ac:dyDescent="0.25">
      <c r="A19" s="25" t="s">
        <v>236</v>
      </c>
      <c r="C19" s="71" t="str">
        <f>COUNTA(B5:B17)&amp;" of 13 parameters filled"</f>
        <v>11 of 13 parameters filled</v>
      </c>
      <c r="D19" s="65"/>
    </row>
  </sheetData>
  <mergeCells count="3">
    <mergeCell ref="A1:D1"/>
    <mergeCell ref="A2:D2"/>
    <mergeCell ref="C19:D19"/>
  </mergeCells>
  <hyperlinks>
    <hyperlink ref="A19" location="INDEX!A1" display="&lt;&lt; Back to INDEX" xr:uid="{00000000-0004-0000-3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18"/>
  <sheetViews>
    <sheetView showGridLines="0" zoomScaleNormal="100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92.85546875" style="1" bestFit="1" customWidth="1"/>
    <col min="3" max="3" width="5.85546875" style="1" bestFit="1" customWidth="1"/>
    <col min="4" max="4" width="91.85546875" style="1" bestFit="1" customWidth="1"/>
  </cols>
  <sheetData>
    <row r="1" spans="1:4" ht="15.75" x14ac:dyDescent="0.25">
      <c r="A1" s="78" t="s">
        <v>703</v>
      </c>
      <c r="B1" s="65"/>
      <c r="C1" s="65"/>
      <c r="D1" s="65"/>
    </row>
    <row r="2" spans="1:4" x14ac:dyDescent="0.25">
      <c r="A2" s="64" t="s">
        <v>704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705</v>
      </c>
      <c r="B5" s="24" t="s">
        <v>1623</v>
      </c>
      <c r="C5" s="11" t="s">
        <v>206</v>
      </c>
      <c r="D5" s="12" t="s">
        <v>1626</v>
      </c>
    </row>
    <row r="6" spans="1:4" x14ac:dyDescent="0.25">
      <c r="A6" s="23" t="s">
        <v>706</v>
      </c>
      <c r="B6" s="24">
        <v>7</v>
      </c>
      <c r="C6" s="13" t="s">
        <v>365</v>
      </c>
      <c r="D6" s="14" t="s">
        <v>1627</v>
      </c>
    </row>
    <row r="7" spans="1:4" x14ac:dyDescent="0.25">
      <c r="A7" s="23" t="s">
        <v>707</v>
      </c>
      <c r="B7" s="24">
        <v>700</v>
      </c>
      <c r="C7" s="11" t="s">
        <v>365</v>
      </c>
      <c r="D7" s="12" t="s">
        <v>1628</v>
      </c>
    </row>
    <row r="8" spans="1:4" x14ac:dyDescent="0.25">
      <c r="A8" s="23" t="s">
        <v>708</v>
      </c>
      <c r="B8" s="24">
        <v>20.6</v>
      </c>
      <c r="C8" s="13" t="s">
        <v>350</v>
      </c>
      <c r="D8" s="14" t="s">
        <v>1629</v>
      </c>
    </row>
    <row r="9" spans="1:4" x14ac:dyDescent="0.25">
      <c r="A9" s="23" t="s">
        <v>709</v>
      </c>
      <c r="B9" s="24">
        <v>4</v>
      </c>
      <c r="C9" s="11" t="s">
        <v>206</v>
      </c>
      <c r="D9" s="12" t="s">
        <v>1630</v>
      </c>
    </row>
    <row r="10" spans="1:4" x14ac:dyDescent="0.25">
      <c r="A10" s="23" t="s">
        <v>268</v>
      </c>
      <c r="B10" s="24">
        <v>10</v>
      </c>
      <c r="C10" s="13" t="s">
        <v>257</v>
      </c>
      <c r="D10" s="14" t="s">
        <v>1631</v>
      </c>
    </row>
    <row r="11" spans="1:4" x14ac:dyDescent="0.25">
      <c r="A11" s="23" t="s">
        <v>383</v>
      </c>
      <c r="B11" s="24" t="s">
        <v>1624</v>
      </c>
      <c r="C11" s="11" t="s">
        <v>206</v>
      </c>
      <c r="D11" s="12" t="s">
        <v>1632</v>
      </c>
    </row>
    <row r="12" spans="1:4" x14ac:dyDescent="0.25">
      <c r="A12" s="23" t="s">
        <v>710</v>
      </c>
      <c r="B12" s="24" t="s">
        <v>1625</v>
      </c>
      <c r="C12" s="13" t="s">
        <v>206</v>
      </c>
      <c r="D12" s="14" t="s">
        <v>1633</v>
      </c>
    </row>
    <row r="13" spans="1:4" x14ac:dyDescent="0.25">
      <c r="A13" s="23" t="s">
        <v>711</v>
      </c>
      <c r="B13" s="24">
        <v>150</v>
      </c>
      <c r="C13" s="11" t="s">
        <v>228</v>
      </c>
      <c r="D13" s="12" t="s">
        <v>1634</v>
      </c>
    </row>
    <row r="14" spans="1:4" x14ac:dyDescent="0.25">
      <c r="A14" s="23" t="s">
        <v>344</v>
      </c>
      <c r="B14" s="24">
        <v>770</v>
      </c>
      <c r="C14" s="13" t="s">
        <v>365</v>
      </c>
      <c r="D14" s="14" t="s">
        <v>1635</v>
      </c>
    </row>
    <row r="15" spans="1:4" x14ac:dyDescent="0.25">
      <c r="A15" s="23" t="s">
        <v>234</v>
      </c>
      <c r="B15" s="24"/>
      <c r="C15" s="11"/>
      <c r="D15" s="12"/>
    </row>
    <row r="16" spans="1:4" x14ac:dyDescent="0.25">
      <c r="A16" s="23" t="s">
        <v>235</v>
      </c>
      <c r="B16" s="24"/>
      <c r="C16" s="13"/>
      <c r="D16" s="14"/>
    </row>
    <row r="18" spans="1:4" ht="15.75" customHeight="1" x14ac:dyDescent="0.25">
      <c r="A18" s="25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3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9"/>
  <sheetViews>
    <sheetView showGridLines="0" zoomScaleNormal="100" workbookViewId="0">
      <selection activeCell="A19" sqref="A19"/>
    </sheetView>
  </sheetViews>
  <sheetFormatPr defaultColWidth="8.7109375" defaultRowHeight="15" x14ac:dyDescent="0.25"/>
  <cols>
    <col min="1" max="1" width="36" style="1" customWidth="1"/>
    <col min="2" max="2" width="52.5703125" style="1" bestFit="1" customWidth="1"/>
    <col min="3" max="3" width="6.7109375" style="1" bestFit="1" customWidth="1"/>
    <col min="4" max="4" width="72.5703125" style="1" bestFit="1" customWidth="1"/>
  </cols>
  <sheetData>
    <row r="1" spans="1:4" ht="15.75" x14ac:dyDescent="0.25">
      <c r="A1" s="78" t="s">
        <v>712</v>
      </c>
      <c r="B1" s="65"/>
      <c r="C1" s="65"/>
      <c r="D1" s="65"/>
    </row>
    <row r="2" spans="1:4" x14ac:dyDescent="0.25">
      <c r="A2" s="64" t="s">
        <v>713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714</v>
      </c>
      <c r="B5" s="24" t="s">
        <v>1636</v>
      </c>
      <c r="C5" s="11" t="s">
        <v>206</v>
      </c>
      <c r="D5" s="12" t="s">
        <v>1642</v>
      </c>
    </row>
    <row r="6" spans="1:4" x14ac:dyDescent="0.25">
      <c r="A6" s="23" t="s">
        <v>417</v>
      </c>
      <c r="B6" s="24">
        <v>50</v>
      </c>
      <c r="C6" s="13" t="s">
        <v>715</v>
      </c>
      <c r="D6" s="14" t="s">
        <v>1643</v>
      </c>
    </row>
    <row r="7" spans="1:4" x14ac:dyDescent="0.25">
      <c r="A7" s="23" t="s">
        <v>326</v>
      </c>
      <c r="B7" s="24">
        <v>875</v>
      </c>
      <c r="C7" s="11" t="s">
        <v>365</v>
      </c>
      <c r="D7" s="12" t="s">
        <v>1644</v>
      </c>
    </row>
    <row r="8" spans="1:4" x14ac:dyDescent="0.25">
      <c r="A8" s="23" t="s">
        <v>340</v>
      </c>
      <c r="B8" s="24" t="s">
        <v>1637</v>
      </c>
      <c r="C8" s="13" t="s">
        <v>365</v>
      </c>
      <c r="D8" s="14" t="s">
        <v>1645</v>
      </c>
    </row>
    <row r="9" spans="1:4" x14ac:dyDescent="0.25">
      <c r="A9" s="23" t="s">
        <v>716</v>
      </c>
      <c r="B9" s="24">
        <v>3</v>
      </c>
      <c r="C9" s="11" t="s">
        <v>206</v>
      </c>
      <c r="D9" s="12" t="s">
        <v>1646</v>
      </c>
    </row>
    <row r="10" spans="1:4" x14ac:dyDescent="0.25">
      <c r="A10" s="23" t="s">
        <v>524</v>
      </c>
      <c r="B10" s="24" t="s">
        <v>1638</v>
      </c>
      <c r="C10" s="13" t="s">
        <v>206</v>
      </c>
      <c r="D10" s="14" t="s">
        <v>1647</v>
      </c>
    </row>
    <row r="11" spans="1:4" x14ac:dyDescent="0.25">
      <c r="A11" s="23" t="s">
        <v>717</v>
      </c>
      <c r="B11" s="24">
        <v>875</v>
      </c>
      <c r="C11" s="11" t="s">
        <v>365</v>
      </c>
      <c r="D11" s="12" t="s">
        <v>1648</v>
      </c>
    </row>
    <row r="12" spans="1:4" x14ac:dyDescent="0.25">
      <c r="A12" s="23" t="s">
        <v>342</v>
      </c>
      <c r="B12" s="24" t="s">
        <v>1639</v>
      </c>
      <c r="C12" s="13" t="s">
        <v>310</v>
      </c>
      <c r="D12" s="14" t="s">
        <v>1649</v>
      </c>
    </row>
    <row r="13" spans="1:4" x14ac:dyDescent="0.25">
      <c r="A13" s="23" t="s">
        <v>718</v>
      </c>
      <c r="B13" s="24" t="s">
        <v>231</v>
      </c>
      <c r="C13" s="11" t="s">
        <v>232</v>
      </c>
      <c r="D13" s="12" t="s">
        <v>1650</v>
      </c>
    </row>
    <row r="14" spans="1:4" x14ac:dyDescent="0.25">
      <c r="A14" s="23" t="s">
        <v>719</v>
      </c>
      <c r="B14" s="24" t="s">
        <v>1640</v>
      </c>
      <c r="C14" s="13" t="s">
        <v>206</v>
      </c>
      <c r="D14" s="14" t="s">
        <v>1651</v>
      </c>
    </row>
    <row r="15" spans="1:4" x14ac:dyDescent="0.25">
      <c r="A15" s="23" t="s">
        <v>720</v>
      </c>
      <c r="B15" s="24" t="s">
        <v>1641</v>
      </c>
      <c r="C15" s="11" t="s">
        <v>206</v>
      </c>
      <c r="D15" s="12" t="s">
        <v>1652</v>
      </c>
    </row>
    <row r="16" spans="1:4" x14ac:dyDescent="0.25">
      <c r="A16" s="23" t="s">
        <v>234</v>
      </c>
      <c r="B16" s="24"/>
      <c r="C16" s="13"/>
      <c r="D16" s="14"/>
    </row>
    <row r="17" spans="1:4" x14ac:dyDescent="0.25">
      <c r="A17" s="23" t="s">
        <v>235</v>
      </c>
      <c r="B17" s="24"/>
      <c r="C17" s="11"/>
      <c r="D17" s="12"/>
    </row>
    <row r="19" spans="1:4" ht="15.75" customHeight="1" x14ac:dyDescent="0.25">
      <c r="A19" s="25" t="s">
        <v>236</v>
      </c>
      <c r="C19" s="71" t="str">
        <f>COUNTA(B5:B17)&amp;" of 13 parameters filled"</f>
        <v>11 of 13 parameters filled</v>
      </c>
      <c r="D19" s="65"/>
    </row>
  </sheetData>
  <mergeCells count="3">
    <mergeCell ref="A1:D1"/>
    <mergeCell ref="A2:D2"/>
    <mergeCell ref="C19:D19"/>
  </mergeCells>
  <hyperlinks>
    <hyperlink ref="A19" location="INDEX!A1" display="&lt;&lt; Back to INDEX" xr:uid="{00000000-0004-0000-3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17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103" style="1" bestFit="1" customWidth="1"/>
    <col min="3" max="3" width="6.5703125" style="1" bestFit="1" customWidth="1"/>
    <col min="4" max="4" width="74" style="1" bestFit="1" customWidth="1"/>
  </cols>
  <sheetData>
    <row r="1" spans="1:4" ht="15.75" x14ac:dyDescent="0.25">
      <c r="A1" s="78" t="s">
        <v>721</v>
      </c>
      <c r="B1" s="65"/>
      <c r="C1" s="65"/>
      <c r="D1" s="65"/>
    </row>
    <row r="2" spans="1:4" x14ac:dyDescent="0.25">
      <c r="A2" s="64" t="s">
        <v>722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723</v>
      </c>
      <c r="B5" s="24" t="s">
        <v>1653</v>
      </c>
      <c r="C5" s="11" t="s">
        <v>206</v>
      </c>
      <c r="D5" s="12" t="s">
        <v>1656</v>
      </c>
    </row>
    <row r="6" spans="1:4" x14ac:dyDescent="0.25">
      <c r="A6" s="23" t="s">
        <v>724</v>
      </c>
      <c r="B6" s="24">
        <v>2</v>
      </c>
      <c r="C6" s="13" t="s">
        <v>725</v>
      </c>
      <c r="D6" s="14" t="s">
        <v>1657</v>
      </c>
    </row>
    <row r="7" spans="1:4" x14ac:dyDescent="0.25">
      <c r="A7" s="23" t="s">
        <v>289</v>
      </c>
      <c r="B7" s="24">
        <v>170</v>
      </c>
      <c r="C7" s="11" t="s">
        <v>228</v>
      </c>
      <c r="D7" s="12" t="s">
        <v>1658</v>
      </c>
    </row>
    <row r="8" spans="1:4" x14ac:dyDescent="0.25">
      <c r="A8" s="23" t="s">
        <v>594</v>
      </c>
      <c r="B8" s="24">
        <v>40</v>
      </c>
      <c r="C8" s="13" t="s">
        <v>310</v>
      </c>
      <c r="D8" s="14" t="s">
        <v>1659</v>
      </c>
    </row>
    <row r="9" spans="1:4" x14ac:dyDescent="0.25">
      <c r="A9" s="23" t="s">
        <v>607</v>
      </c>
      <c r="B9" s="24" t="s">
        <v>1654</v>
      </c>
      <c r="C9" s="11" t="s">
        <v>206</v>
      </c>
      <c r="D9" s="12" t="s">
        <v>1660</v>
      </c>
    </row>
    <row r="10" spans="1:4" x14ac:dyDescent="0.25">
      <c r="A10" s="23" t="s">
        <v>726</v>
      </c>
      <c r="B10" s="24">
        <v>6.2</v>
      </c>
      <c r="C10" s="13" t="s">
        <v>403</v>
      </c>
      <c r="D10" s="14" t="s">
        <v>1661</v>
      </c>
    </row>
    <row r="11" spans="1:4" x14ac:dyDescent="0.25">
      <c r="A11" s="23" t="s">
        <v>727</v>
      </c>
      <c r="B11" s="24">
        <v>0.5</v>
      </c>
      <c r="C11" s="11" t="s">
        <v>389</v>
      </c>
      <c r="D11" s="12" t="s">
        <v>1662</v>
      </c>
    </row>
    <row r="12" spans="1:4" x14ac:dyDescent="0.25">
      <c r="A12" s="23" t="s">
        <v>728</v>
      </c>
      <c r="B12" s="24" t="s">
        <v>1655</v>
      </c>
      <c r="C12" s="13" t="s">
        <v>206</v>
      </c>
      <c r="D12" s="14" t="s">
        <v>1663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5" spans="1:4" ht="19.5" customHeight="1" x14ac:dyDescent="0.25">
      <c r="A15" s="25" t="s">
        <v>236</v>
      </c>
      <c r="D15" s="51" t="str">
        <f>COUNTA(B5:B14)&amp;" of 10 parameters filled"</f>
        <v>8 of 10 parameters filled</v>
      </c>
    </row>
    <row r="16" spans="1:4" x14ac:dyDescent="0.25">
      <c r="C16" s="16"/>
    </row>
    <row r="17" ht="15.75" customHeight="1" x14ac:dyDescent="0.25"/>
  </sheetData>
  <mergeCells count="2">
    <mergeCell ref="A1:D1"/>
    <mergeCell ref="A2:D2"/>
  </mergeCells>
  <hyperlinks>
    <hyperlink ref="A15" location="INDEX!A1" display="&lt;&lt; Back to INDEX" xr:uid="{C741B7FE-373C-422B-A2E8-6463778BDF1B}"/>
  </hyperlinks>
  <pageMargins left="0.75" right="0.75" top="1" bottom="1" header="0.511811023622047" footer="0.511811023622047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8"/>
  <sheetViews>
    <sheetView showGridLines="0" zoomScale="85" zoomScaleNormal="8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64.5703125" style="1" bestFit="1" customWidth="1"/>
    <col min="3" max="3" width="13.28515625" style="1" bestFit="1" customWidth="1"/>
    <col min="4" max="4" width="74" style="1" bestFit="1" customWidth="1"/>
  </cols>
  <sheetData>
    <row r="1" spans="1:4" ht="15.75" x14ac:dyDescent="0.25">
      <c r="A1" s="78" t="s">
        <v>729</v>
      </c>
      <c r="B1" s="65"/>
      <c r="C1" s="65"/>
      <c r="D1" s="65"/>
    </row>
    <row r="2" spans="1:4" x14ac:dyDescent="0.25">
      <c r="A2" s="64" t="s">
        <v>730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731</v>
      </c>
      <c r="B5" s="24" t="s">
        <v>1664</v>
      </c>
      <c r="C5" s="11" t="s">
        <v>206</v>
      </c>
      <c r="D5" s="12" t="s">
        <v>1669</v>
      </c>
    </row>
    <row r="6" spans="1:4" x14ac:dyDescent="0.25">
      <c r="A6" s="23" t="s">
        <v>732</v>
      </c>
      <c r="B6" s="24">
        <v>1</v>
      </c>
      <c r="C6" s="13" t="s">
        <v>389</v>
      </c>
      <c r="D6" s="14" t="s">
        <v>1670</v>
      </c>
    </row>
    <row r="7" spans="1:4" x14ac:dyDescent="0.25">
      <c r="A7" s="23" t="s">
        <v>733</v>
      </c>
      <c r="B7" s="24">
        <v>1</v>
      </c>
      <c r="C7" s="11" t="s">
        <v>389</v>
      </c>
      <c r="D7" s="12" t="s">
        <v>1671</v>
      </c>
    </row>
    <row r="8" spans="1:4" x14ac:dyDescent="0.25">
      <c r="A8" s="23" t="s">
        <v>734</v>
      </c>
      <c r="B8" s="24" t="s">
        <v>1665</v>
      </c>
      <c r="C8" s="13" t="s">
        <v>228</v>
      </c>
      <c r="D8" s="14" t="s">
        <v>1672</v>
      </c>
    </row>
    <row r="9" spans="1:4" x14ac:dyDescent="0.25">
      <c r="A9" s="23" t="s">
        <v>735</v>
      </c>
      <c r="B9" s="45" t="s">
        <v>1666</v>
      </c>
      <c r="C9" s="11" t="s">
        <v>310</v>
      </c>
      <c r="D9" s="12" t="s">
        <v>1673</v>
      </c>
    </row>
    <row r="10" spans="1:4" x14ac:dyDescent="0.25">
      <c r="A10" s="23" t="s">
        <v>736</v>
      </c>
      <c r="B10" s="24" t="s">
        <v>1667</v>
      </c>
      <c r="C10" s="13" t="s">
        <v>206</v>
      </c>
      <c r="D10" s="14" t="s">
        <v>1674</v>
      </c>
    </row>
    <row r="11" spans="1:4" x14ac:dyDescent="0.25">
      <c r="A11" s="23" t="s">
        <v>737</v>
      </c>
      <c r="B11" s="24">
        <v>56</v>
      </c>
      <c r="C11" s="11" t="s">
        <v>738</v>
      </c>
      <c r="D11" s="12" t="s">
        <v>1675</v>
      </c>
    </row>
    <row r="12" spans="1:4" x14ac:dyDescent="0.25">
      <c r="A12" s="23" t="s">
        <v>739</v>
      </c>
      <c r="B12" s="24" t="s">
        <v>1668</v>
      </c>
      <c r="C12" s="13" t="s">
        <v>206</v>
      </c>
      <c r="D12" s="14" t="s">
        <v>1676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5" spans="1:4" ht="19.5" customHeight="1" x14ac:dyDescent="0.25">
      <c r="A15" s="25" t="s">
        <v>236</v>
      </c>
      <c r="C15" s="51"/>
      <c r="D15" s="51" t="str">
        <f>COUNTA(B5:B14)&amp;" of 10 parameters filled"</f>
        <v>8 of 10 parameters filled</v>
      </c>
    </row>
    <row r="16" spans="1:4" x14ac:dyDescent="0.25">
      <c r="A16" s="39"/>
      <c r="C16" s="16"/>
    </row>
    <row r="17" spans="1:1" ht="15.75" customHeight="1" x14ac:dyDescent="0.25">
      <c r="A17" s="39"/>
    </row>
    <row r="18" spans="1:1" x14ac:dyDescent="0.25">
      <c r="A18" s="39"/>
    </row>
  </sheetData>
  <mergeCells count="2">
    <mergeCell ref="A1:D1"/>
    <mergeCell ref="A2:D2"/>
  </mergeCells>
  <hyperlinks>
    <hyperlink ref="A15" location="INDEX!A1" display="&lt;&lt; Back to INDEX" xr:uid="{8E1A5B3F-E49B-4B64-9DBD-63B63D6B03E1}"/>
  </hyperlinks>
  <pageMargins left="0.75" right="0.75" top="1" bottom="1" header="0.511811023622047" footer="0.511811023622047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5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79" style="1" bestFit="1" customWidth="1"/>
    <col min="3" max="3" width="6.5703125" style="1" bestFit="1" customWidth="1"/>
    <col min="4" max="4" width="86.140625" style="1" bestFit="1" customWidth="1"/>
  </cols>
  <sheetData>
    <row r="1" spans="1:4" ht="15.75" x14ac:dyDescent="0.25">
      <c r="A1" s="78" t="s">
        <v>740</v>
      </c>
      <c r="B1" s="65"/>
      <c r="C1" s="65"/>
      <c r="D1" s="65"/>
    </row>
    <row r="2" spans="1:4" x14ac:dyDescent="0.25">
      <c r="A2" s="64" t="s">
        <v>741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723</v>
      </c>
      <c r="B5" s="24" t="s">
        <v>1653</v>
      </c>
      <c r="C5" s="11" t="s">
        <v>206</v>
      </c>
      <c r="D5" s="12" t="s">
        <v>1679</v>
      </c>
    </row>
    <row r="6" spans="1:4" x14ac:dyDescent="0.25">
      <c r="A6" s="23" t="s">
        <v>742</v>
      </c>
      <c r="B6" s="24">
        <v>2</v>
      </c>
      <c r="C6" s="13" t="s">
        <v>725</v>
      </c>
      <c r="D6" s="14" t="s">
        <v>1680</v>
      </c>
    </row>
    <row r="7" spans="1:4" x14ac:dyDescent="0.25">
      <c r="A7" s="23" t="s">
        <v>289</v>
      </c>
      <c r="B7" s="24">
        <v>300</v>
      </c>
      <c r="C7" s="11" t="s">
        <v>228</v>
      </c>
      <c r="D7" s="12" t="s">
        <v>1681</v>
      </c>
    </row>
    <row r="8" spans="1:4" x14ac:dyDescent="0.25">
      <c r="A8" s="23" t="s">
        <v>594</v>
      </c>
      <c r="B8" s="24">
        <v>2</v>
      </c>
      <c r="C8" s="13" t="s">
        <v>310</v>
      </c>
      <c r="D8" s="14" t="s">
        <v>1682</v>
      </c>
    </row>
    <row r="9" spans="1:4" x14ac:dyDescent="0.25">
      <c r="A9" s="23" t="s">
        <v>607</v>
      </c>
      <c r="B9" s="24" t="s">
        <v>1677</v>
      </c>
      <c r="C9" s="11" t="s">
        <v>206</v>
      </c>
      <c r="D9" s="12" t="s">
        <v>1683</v>
      </c>
    </row>
    <row r="10" spans="1:4" x14ac:dyDescent="0.25">
      <c r="A10" s="23" t="s">
        <v>743</v>
      </c>
      <c r="B10" s="24">
        <v>19</v>
      </c>
      <c r="C10" s="13" t="s">
        <v>257</v>
      </c>
      <c r="D10" s="14" t="s">
        <v>1684</v>
      </c>
    </row>
    <row r="11" spans="1:4" x14ac:dyDescent="0.25">
      <c r="A11" s="23" t="s">
        <v>744</v>
      </c>
      <c r="B11" s="24" t="s">
        <v>1678</v>
      </c>
      <c r="C11" s="11" t="s">
        <v>206</v>
      </c>
      <c r="D11" s="12" t="s">
        <v>1685</v>
      </c>
    </row>
    <row r="12" spans="1:4" x14ac:dyDescent="0.25">
      <c r="A12" s="23" t="s">
        <v>745</v>
      </c>
      <c r="B12" s="24">
        <v>6</v>
      </c>
      <c r="C12" s="13" t="s">
        <v>403</v>
      </c>
      <c r="D12" s="14" t="s">
        <v>1686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5" spans="1:4" ht="19.5" customHeight="1" x14ac:dyDescent="0.25">
      <c r="A15" s="25" t="s">
        <v>236</v>
      </c>
      <c r="D15" s="51" t="str">
        <f>COUNTA(B5:B14)&amp;" of 10 parameters filled"</f>
        <v>8 of 10 parameters filled</v>
      </c>
    </row>
  </sheetData>
  <mergeCells count="2">
    <mergeCell ref="A1:D1"/>
    <mergeCell ref="A2:D2"/>
  </mergeCells>
  <hyperlinks>
    <hyperlink ref="A15" location="INDEX!A1" display="&lt;&lt; Back to INDEX" xr:uid="{06E3FAAD-5C9B-488D-9928-DA7DCA1D3B13}"/>
  </hyperlinks>
  <pageMargins left="0.75" right="0.75" top="1" bottom="1" header="0.511811023622047" footer="0.511811023622047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15"/>
  <sheetViews>
    <sheetView showGridLines="0" zoomScale="115" zoomScaleNormal="11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90.85546875" style="1" bestFit="1" customWidth="1"/>
    <col min="3" max="3" width="6.5703125" style="1" bestFit="1" customWidth="1"/>
    <col min="4" max="4" width="105.85546875" style="1" bestFit="1" customWidth="1"/>
  </cols>
  <sheetData>
    <row r="1" spans="1:4" ht="15.75" x14ac:dyDescent="0.25">
      <c r="A1" s="78" t="s">
        <v>1699</v>
      </c>
      <c r="B1" s="65"/>
      <c r="C1" s="65"/>
      <c r="D1" s="65"/>
    </row>
    <row r="2" spans="1:4" x14ac:dyDescent="0.25">
      <c r="A2" s="64" t="s">
        <v>746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747</v>
      </c>
      <c r="B5" s="24" t="s">
        <v>1687</v>
      </c>
      <c r="C5" s="11" t="s">
        <v>206</v>
      </c>
      <c r="D5" s="12" t="s">
        <v>1691</v>
      </c>
    </row>
    <row r="6" spans="1:4" x14ac:dyDescent="0.25">
      <c r="A6" s="23" t="s">
        <v>748</v>
      </c>
      <c r="B6" s="24">
        <v>99.9</v>
      </c>
      <c r="C6" s="13" t="s">
        <v>254</v>
      </c>
      <c r="D6" s="14" t="s">
        <v>1692</v>
      </c>
    </row>
    <row r="7" spans="1:4" x14ac:dyDescent="0.25">
      <c r="A7" s="23" t="s">
        <v>397</v>
      </c>
      <c r="B7" s="24">
        <v>2</v>
      </c>
      <c r="C7" s="11" t="s">
        <v>725</v>
      </c>
      <c r="D7" s="12" t="s">
        <v>1693</v>
      </c>
    </row>
    <row r="8" spans="1:4" x14ac:dyDescent="0.25">
      <c r="A8" s="23" t="s">
        <v>706</v>
      </c>
      <c r="B8" s="24">
        <v>2</v>
      </c>
      <c r="C8" s="13" t="s">
        <v>310</v>
      </c>
      <c r="D8" s="14" t="s">
        <v>1694</v>
      </c>
    </row>
    <row r="9" spans="1:4" x14ac:dyDescent="0.25">
      <c r="A9" s="23" t="s">
        <v>749</v>
      </c>
      <c r="B9" s="24">
        <v>1.8</v>
      </c>
      <c r="C9" s="11" t="s">
        <v>310</v>
      </c>
      <c r="D9" s="12" t="s">
        <v>1695</v>
      </c>
    </row>
    <row r="10" spans="1:4" x14ac:dyDescent="0.25">
      <c r="A10" s="23" t="s">
        <v>750</v>
      </c>
      <c r="B10" s="24" t="s">
        <v>1688</v>
      </c>
      <c r="C10" s="13" t="s">
        <v>206</v>
      </c>
      <c r="D10" s="14" t="s">
        <v>1696</v>
      </c>
    </row>
    <row r="11" spans="1:4" x14ac:dyDescent="0.25">
      <c r="A11" s="23" t="s">
        <v>751</v>
      </c>
      <c r="B11" s="24" t="s">
        <v>1689</v>
      </c>
      <c r="C11" s="11" t="s">
        <v>254</v>
      </c>
      <c r="D11" s="12" t="s">
        <v>1697</v>
      </c>
    </row>
    <row r="12" spans="1:4" x14ac:dyDescent="0.25">
      <c r="A12" s="23" t="s">
        <v>752</v>
      </c>
      <c r="B12" s="24" t="s">
        <v>1690</v>
      </c>
      <c r="C12" s="13" t="s">
        <v>206</v>
      </c>
      <c r="D12" s="14" t="s">
        <v>1698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5" spans="1:4" ht="19.5" customHeight="1" x14ac:dyDescent="0.25">
      <c r="A15" s="25" t="s">
        <v>236</v>
      </c>
      <c r="D15" s="51" t="str">
        <f>COUNTA(B5:B14)&amp;" of 10 parameters filled"</f>
        <v>8 of 10 parameters filled</v>
      </c>
    </row>
  </sheetData>
  <mergeCells count="2">
    <mergeCell ref="A1:D1"/>
    <mergeCell ref="A2:D2"/>
  </mergeCells>
  <hyperlinks>
    <hyperlink ref="A15" location="INDEX!A1" display="&lt;&lt; Back to INDEX" xr:uid="{39EA3157-0B70-463B-B267-CC5ECE86C063}"/>
  </hyperlinks>
  <pageMargins left="0.75" right="0.75" top="1" bottom="1" header="0.511811023622047" footer="0.511811023622047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19"/>
  <sheetViews>
    <sheetView showGridLines="0" zoomScale="85" zoomScaleNormal="8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65.28515625" style="1" bestFit="1" customWidth="1"/>
    <col min="3" max="3" width="6.7109375" style="1" bestFit="1" customWidth="1"/>
    <col min="4" max="4" width="84.42578125" style="1" bestFit="1" customWidth="1"/>
  </cols>
  <sheetData>
    <row r="1" spans="1:4" ht="15.75" x14ac:dyDescent="0.25">
      <c r="A1" s="78" t="s">
        <v>1700</v>
      </c>
      <c r="B1" s="65"/>
      <c r="C1" s="65"/>
      <c r="D1" s="65"/>
    </row>
    <row r="2" spans="1:4" x14ac:dyDescent="0.25">
      <c r="A2" s="64" t="s">
        <v>753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3" t="s">
        <v>754</v>
      </c>
      <c r="B5" s="24" t="s">
        <v>1701</v>
      </c>
      <c r="C5" s="11" t="s">
        <v>310</v>
      </c>
      <c r="D5" s="12" t="s">
        <v>1707</v>
      </c>
    </row>
    <row r="6" spans="1:4" x14ac:dyDescent="0.25">
      <c r="A6" s="23" t="s">
        <v>755</v>
      </c>
      <c r="B6" s="24" t="s">
        <v>1702</v>
      </c>
      <c r="C6" s="13" t="s">
        <v>206</v>
      </c>
      <c r="D6" s="14" t="s">
        <v>1708</v>
      </c>
    </row>
    <row r="7" spans="1:4" x14ac:dyDescent="0.25">
      <c r="A7" s="23" t="s">
        <v>756</v>
      </c>
      <c r="B7" s="24">
        <v>1.2</v>
      </c>
      <c r="C7" s="11" t="s">
        <v>757</v>
      </c>
      <c r="D7" s="12" t="s">
        <v>1709</v>
      </c>
    </row>
    <row r="8" spans="1:4" x14ac:dyDescent="0.25">
      <c r="A8" s="23" t="s">
        <v>758</v>
      </c>
      <c r="B8" s="24" t="s">
        <v>1703</v>
      </c>
      <c r="C8" s="13" t="s">
        <v>206</v>
      </c>
      <c r="D8" s="14" t="s">
        <v>1710</v>
      </c>
    </row>
    <row r="9" spans="1:4" x14ac:dyDescent="0.25">
      <c r="A9" s="23" t="s">
        <v>759</v>
      </c>
      <c r="B9" s="24" t="s">
        <v>231</v>
      </c>
      <c r="C9" s="11" t="s">
        <v>232</v>
      </c>
      <c r="D9" s="12" t="s">
        <v>1711</v>
      </c>
    </row>
    <row r="10" spans="1:4" x14ac:dyDescent="0.25">
      <c r="A10" s="23" t="s">
        <v>760</v>
      </c>
      <c r="B10" s="24" t="s">
        <v>1704</v>
      </c>
      <c r="C10" s="13" t="s">
        <v>206</v>
      </c>
      <c r="D10" s="14" t="s">
        <v>1712</v>
      </c>
    </row>
    <row r="11" spans="1:4" x14ac:dyDescent="0.25">
      <c r="A11" s="23" t="s">
        <v>761</v>
      </c>
      <c r="B11" s="24" t="s">
        <v>1705</v>
      </c>
      <c r="C11" s="11" t="s">
        <v>206</v>
      </c>
      <c r="D11" s="12" t="s">
        <v>1713</v>
      </c>
    </row>
    <row r="12" spans="1:4" x14ac:dyDescent="0.25">
      <c r="A12" s="23" t="s">
        <v>762</v>
      </c>
      <c r="B12" s="24" t="s">
        <v>1706</v>
      </c>
      <c r="C12" s="13" t="s">
        <v>206</v>
      </c>
      <c r="D12" s="14" t="s">
        <v>1714</v>
      </c>
    </row>
    <row r="13" spans="1:4" x14ac:dyDescent="0.25">
      <c r="A13" s="23" t="s">
        <v>234</v>
      </c>
      <c r="B13" s="24"/>
      <c r="C13" s="11"/>
      <c r="D13" s="12"/>
    </row>
    <row r="14" spans="1:4" x14ac:dyDescent="0.25">
      <c r="A14" s="23" t="s">
        <v>235</v>
      </c>
      <c r="B14" s="24"/>
      <c r="C14" s="13"/>
      <c r="D14" s="14"/>
    </row>
    <row r="15" spans="1:4" ht="19.5" customHeight="1" x14ac:dyDescent="0.25">
      <c r="A15" s="25" t="s">
        <v>236</v>
      </c>
      <c r="D15" s="51" t="str">
        <f>COUNTA(B5:B14)&amp;" of 10 parameters filled"</f>
        <v>8 of 10 parameters filled</v>
      </c>
    </row>
    <row r="16" spans="1:4" x14ac:dyDescent="0.25">
      <c r="A16" s="39"/>
      <c r="C16" s="16"/>
    </row>
    <row r="17" spans="1:1" ht="15.75" customHeight="1" x14ac:dyDescent="0.25">
      <c r="A17" s="39"/>
    </row>
    <row r="18" spans="1:1" x14ac:dyDescent="0.25">
      <c r="A18" s="39"/>
    </row>
    <row r="19" spans="1:1" x14ac:dyDescent="0.25">
      <c r="A19" s="39"/>
    </row>
  </sheetData>
  <mergeCells count="2">
    <mergeCell ref="A1:D1"/>
    <mergeCell ref="A2:D2"/>
  </mergeCells>
  <hyperlinks>
    <hyperlink ref="A15" location="INDEX!A1" display="&lt;&lt; Back to INDEX" xr:uid="{2935BDF7-2B1F-4884-944F-35E2233233A8}"/>
  </hyperlinks>
  <pageMargins left="0.75" right="0.75" top="1" bottom="1" header="0.511811023622047" footer="0.511811023622047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4"/>
  <sheetViews>
    <sheetView showGridLines="0" zoomScale="115" zoomScaleNormal="115" workbookViewId="0">
      <selection activeCell="A14" sqref="A14"/>
    </sheetView>
  </sheetViews>
  <sheetFormatPr defaultColWidth="8.7109375" defaultRowHeight="15" x14ac:dyDescent="0.25"/>
  <cols>
    <col min="1" max="1" width="36" style="1" customWidth="1"/>
    <col min="2" max="2" width="66.5703125" style="1" bestFit="1" customWidth="1"/>
    <col min="3" max="3" width="6.42578125" style="1" bestFit="1" customWidth="1"/>
    <col min="4" max="4" width="91.28515625" style="1" bestFit="1" customWidth="1"/>
  </cols>
  <sheetData>
    <row r="1" spans="1:4" ht="15.75" x14ac:dyDescent="0.25">
      <c r="A1" s="79" t="s">
        <v>763</v>
      </c>
      <c r="B1" s="65"/>
      <c r="C1" s="65"/>
      <c r="D1" s="65"/>
    </row>
    <row r="2" spans="1:4" x14ac:dyDescent="0.25">
      <c r="A2" s="64" t="s">
        <v>764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765</v>
      </c>
      <c r="B5" s="27">
        <v>750</v>
      </c>
      <c r="C5" s="11" t="s">
        <v>228</v>
      </c>
      <c r="D5" s="12" t="s">
        <v>1716</v>
      </c>
    </row>
    <row r="6" spans="1:4" x14ac:dyDescent="0.25">
      <c r="A6" s="26" t="s">
        <v>427</v>
      </c>
      <c r="B6" s="27">
        <v>6</v>
      </c>
      <c r="C6" s="13" t="s">
        <v>206</v>
      </c>
      <c r="D6" s="14" t="s">
        <v>1717</v>
      </c>
    </row>
    <row r="7" spans="1:4" x14ac:dyDescent="0.25">
      <c r="A7" s="26" t="s">
        <v>597</v>
      </c>
      <c r="B7" s="27" t="s">
        <v>1253</v>
      </c>
      <c r="C7" s="11" t="s">
        <v>206</v>
      </c>
      <c r="D7" s="12" t="s">
        <v>1718</v>
      </c>
    </row>
    <row r="8" spans="1:4" x14ac:dyDescent="0.25">
      <c r="A8" s="26" t="s">
        <v>606</v>
      </c>
      <c r="B8" s="27">
        <v>900</v>
      </c>
      <c r="C8" s="13" t="s">
        <v>228</v>
      </c>
      <c r="D8" s="14" t="s">
        <v>1719</v>
      </c>
    </row>
    <row r="9" spans="1:4" x14ac:dyDescent="0.25">
      <c r="A9" s="26" t="s">
        <v>766</v>
      </c>
      <c r="B9" s="27">
        <v>2</v>
      </c>
      <c r="C9" s="11" t="s">
        <v>767</v>
      </c>
      <c r="D9" s="12" t="s">
        <v>1720</v>
      </c>
    </row>
    <row r="10" spans="1:4" x14ac:dyDescent="0.25">
      <c r="A10" s="26" t="s">
        <v>768</v>
      </c>
      <c r="B10" s="27" t="s">
        <v>1715</v>
      </c>
      <c r="C10" s="13" t="s">
        <v>206</v>
      </c>
      <c r="D10" s="14" t="s">
        <v>1721</v>
      </c>
    </row>
    <row r="11" spans="1:4" x14ac:dyDescent="0.25">
      <c r="A11" s="26" t="s">
        <v>234</v>
      </c>
      <c r="B11" s="27"/>
      <c r="C11" s="11"/>
      <c r="D11" s="12"/>
    </row>
    <row r="12" spans="1:4" x14ac:dyDescent="0.25">
      <c r="A12" s="26" t="s">
        <v>235</v>
      </c>
      <c r="B12" s="27"/>
      <c r="C12" s="13"/>
      <c r="D12" s="14"/>
    </row>
    <row r="14" spans="1:4" ht="15.75" customHeight="1" x14ac:dyDescent="0.25">
      <c r="A14" s="28" t="s">
        <v>236</v>
      </c>
      <c r="C14" s="71" t="str">
        <f>COUNTA(B5:B12)&amp;" of 8 parameters filled"</f>
        <v>6 of 8 parameters filled</v>
      </c>
      <c r="D14" s="65"/>
    </row>
  </sheetData>
  <mergeCells count="3">
    <mergeCell ref="A1:D1"/>
    <mergeCell ref="C14:D14"/>
    <mergeCell ref="A2:D2"/>
  </mergeCells>
  <hyperlinks>
    <hyperlink ref="A14" location="INDEX!A1" display="&lt;&lt; Back to INDEX" xr:uid="{00000000-0004-0000-4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7"/>
  <sheetViews>
    <sheetView showGridLines="0" zoomScale="85" zoomScaleNormal="85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54.140625" style="1" bestFit="1" customWidth="1"/>
    <col min="3" max="3" width="7.28515625" style="1" bestFit="1" customWidth="1"/>
    <col min="4" max="4" width="115.28515625" style="1" bestFit="1" customWidth="1"/>
  </cols>
  <sheetData>
    <row r="1" spans="1:4" ht="15.75" x14ac:dyDescent="0.25">
      <c r="A1" s="79" t="s">
        <v>769</v>
      </c>
      <c r="B1" s="65"/>
      <c r="C1" s="65"/>
      <c r="D1" s="65"/>
    </row>
    <row r="2" spans="1:4" x14ac:dyDescent="0.25">
      <c r="A2" s="64" t="s">
        <v>770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771</v>
      </c>
      <c r="B5" s="27">
        <v>18</v>
      </c>
      <c r="C5" s="11" t="s">
        <v>772</v>
      </c>
      <c r="D5" s="12" t="s">
        <v>1724</v>
      </c>
    </row>
    <row r="6" spans="1:4" x14ac:dyDescent="0.25">
      <c r="A6" s="26" t="s">
        <v>773</v>
      </c>
      <c r="B6" s="27">
        <v>55</v>
      </c>
      <c r="C6" s="13" t="s">
        <v>444</v>
      </c>
      <c r="D6" s="14" t="s">
        <v>1725</v>
      </c>
    </row>
    <row r="7" spans="1:4" x14ac:dyDescent="0.25">
      <c r="A7" s="26" t="s">
        <v>774</v>
      </c>
      <c r="B7" s="27">
        <v>80</v>
      </c>
      <c r="C7" s="11" t="s">
        <v>444</v>
      </c>
      <c r="D7" s="12" t="s">
        <v>1726</v>
      </c>
    </row>
    <row r="8" spans="1:4" x14ac:dyDescent="0.25">
      <c r="A8" s="26" t="s">
        <v>775</v>
      </c>
      <c r="B8" s="27" t="s">
        <v>1722</v>
      </c>
      <c r="C8" s="13" t="s">
        <v>206</v>
      </c>
      <c r="D8" s="14" t="s">
        <v>1727</v>
      </c>
    </row>
    <row r="9" spans="1:4" x14ac:dyDescent="0.25">
      <c r="A9" s="26" t="s">
        <v>776</v>
      </c>
      <c r="B9" s="27">
        <v>59.2</v>
      </c>
      <c r="C9" s="11" t="s">
        <v>548</v>
      </c>
      <c r="D9" s="12" t="s">
        <v>1728</v>
      </c>
    </row>
    <row r="10" spans="1:4" x14ac:dyDescent="0.25">
      <c r="A10" s="26" t="s">
        <v>777</v>
      </c>
      <c r="B10" s="27">
        <v>100</v>
      </c>
      <c r="C10" s="13" t="s">
        <v>327</v>
      </c>
      <c r="D10" s="14" t="s">
        <v>1729</v>
      </c>
    </row>
    <row r="11" spans="1:4" x14ac:dyDescent="0.25">
      <c r="A11" s="26" t="s">
        <v>778</v>
      </c>
      <c r="B11" s="27">
        <v>48</v>
      </c>
      <c r="C11" s="11" t="s">
        <v>779</v>
      </c>
      <c r="D11" s="12" t="s">
        <v>1730</v>
      </c>
    </row>
    <row r="12" spans="1:4" x14ac:dyDescent="0.25">
      <c r="A12" s="26" t="s">
        <v>780</v>
      </c>
      <c r="B12" s="27">
        <v>375</v>
      </c>
      <c r="C12" s="13" t="s">
        <v>781</v>
      </c>
      <c r="D12" s="14" t="s">
        <v>1731</v>
      </c>
    </row>
    <row r="13" spans="1:4" x14ac:dyDescent="0.25">
      <c r="A13" s="26" t="s">
        <v>782</v>
      </c>
      <c r="B13" s="27" t="s">
        <v>1723</v>
      </c>
      <c r="C13" s="11" t="s">
        <v>206</v>
      </c>
      <c r="D13" s="12" t="s">
        <v>1732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9"/>
  <sheetViews>
    <sheetView showGridLines="0" zoomScale="85" zoomScaleNormal="85" workbookViewId="0">
      <selection activeCell="A19" sqref="A19"/>
    </sheetView>
  </sheetViews>
  <sheetFormatPr defaultColWidth="8.7109375" defaultRowHeight="15" x14ac:dyDescent="0.25"/>
  <cols>
    <col min="1" max="1" width="36" style="1" customWidth="1"/>
    <col min="2" max="2" width="79" style="1" bestFit="1" customWidth="1"/>
    <col min="3" max="3" width="7.42578125" style="1" bestFit="1" customWidth="1"/>
    <col min="4" max="4" width="97.85546875" style="1" bestFit="1" customWidth="1"/>
  </cols>
  <sheetData>
    <row r="1" spans="1:4" ht="15.75" x14ac:dyDescent="0.25">
      <c r="A1" s="79" t="s">
        <v>783</v>
      </c>
      <c r="B1" s="65"/>
      <c r="C1" s="65"/>
      <c r="D1" s="65"/>
    </row>
    <row r="2" spans="1:4" x14ac:dyDescent="0.25">
      <c r="A2" s="64" t="s">
        <v>784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785</v>
      </c>
      <c r="B5" s="27">
        <v>15</v>
      </c>
      <c r="C5" s="11" t="s">
        <v>772</v>
      </c>
      <c r="D5" s="12" t="s">
        <v>1735</v>
      </c>
    </row>
    <row r="6" spans="1:4" x14ac:dyDescent="0.25">
      <c r="A6" s="26" t="s">
        <v>786</v>
      </c>
      <c r="B6" s="27">
        <v>20</v>
      </c>
      <c r="C6" s="13" t="s">
        <v>787</v>
      </c>
      <c r="D6" s="14" t="s">
        <v>1736</v>
      </c>
    </row>
    <row r="7" spans="1:4" x14ac:dyDescent="0.25">
      <c r="A7" s="26" t="s">
        <v>773</v>
      </c>
      <c r="B7" s="27">
        <v>35</v>
      </c>
      <c r="C7" s="11" t="s">
        <v>444</v>
      </c>
      <c r="D7" s="12" t="s">
        <v>1737</v>
      </c>
    </row>
    <row r="8" spans="1:4" x14ac:dyDescent="0.25">
      <c r="A8" s="26" t="s">
        <v>788</v>
      </c>
      <c r="B8" s="27">
        <v>9.8000000000000007</v>
      </c>
      <c r="C8" s="13" t="s">
        <v>569</v>
      </c>
      <c r="D8" s="14" t="s">
        <v>1738</v>
      </c>
    </row>
    <row r="9" spans="1:4" x14ac:dyDescent="0.25">
      <c r="A9" s="26" t="s">
        <v>789</v>
      </c>
      <c r="B9" s="27">
        <v>100</v>
      </c>
      <c r="C9" s="11" t="s">
        <v>327</v>
      </c>
      <c r="D9" s="12" t="s">
        <v>1739</v>
      </c>
    </row>
    <row r="10" spans="1:4" x14ac:dyDescent="0.25">
      <c r="A10" s="26" t="s">
        <v>790</v>
      </c>
      <c r="B10" s="27">
        <v>15.8</v>
      </c>
      <c r="C10" s="13" t="s">
        <v>350</v>
      </c>
      <c r="D10" s="14" t="s">
        <v>1740</v>
      </c>
    </row>
    <row r="11" spans="1:4" x14ac:dyDescent="0.25">
      <c r="A11" s="26" t="s">
        <v>791</v>
      </c>
      <c r="B11" s="27">
        <v>400</v>
      </c>
      <c r="C11" s="11" t="s">
        <v>779</v>
      </c>
      <c r="D11" s="12" t="s">
        <v>1741</v>
      </c>
    </row>
    <row r="12" spans="1:4" x14ac:dyDescent="0.25">
      <c r="A12" s="26" t="s">
        <v>792</v>
      </c>
      <c r="B12" s="27">
        <v>50</v>
      </c>
      <c r="C12" s="13" t="s">
        <v>793</v>
      </c>
      <c r="D12" s="14" t="s">
        <v>1742</v>
      </c>
    </row>
    <row r="13" spans="1:4" x14ac:dyDescent="0.25">
      <c r="A13" s="26" t="s">
        <v>794</v>
      </c>
      <c r="B13" s="27" t="s">
        <v>1733</v>
      </c>
      <c r="C13" s="11" t="s">
        <v>206</v>
      </c>
      <c r="D13" s="12" t="s">
        <v>1743</v>
      </c>
    </row>
    <row r="14" spans="1:4" x14ac:dyDescent="0.25">
      <c r="A14" s="26" t="s">
        <v>795</v>
      </c>
      <c r="B14" s="27">
        <v>1500</v>
      </c>
      <c r="C14" s="13" t="s">
        <v>277</v>
      </c>
      <c r="D14" s="14" t="s">
        <v>1744</v>
      </c>
    </row>
    <row r="15" spans="1:4" x14ac:dyDescent="0.25">
      <c r="A15" s="26" t="s">
        <v>796</v>
      </c>
      <c r="B15" s="27" t="s">
        <v>1734</v>
      </c>
      <c r="C15" s="11" t="s">
        <v>477</v>
      </c>
      <c r="D15" s="12" t="s">
        <v>1745</v>
      </c>
    </row>
    <row r="16" spans="1:4" x14ac:dyDescent="0.25">
      <c r="A16" s="26" t="s">
        <v>234</v>
      </c>
      <c r="B16" s="27"/>
      <c r="C16" s="13"/>
      <c r="D16" s="14"/>
    </row>
    <row r="17" spans="1:4" x14ac:dyDescent="0.25">
      <c r="A17" s="26" t="s">
        <v>235</v>
      </c>
      <c r="B17" s="27"/>
      <c r="C17" s="11"/>
      <c r="D17" s="12"/>
    </row>
    <row r="19" spans="1:4" ht="15.75" customHeight="1" x14ac:dyDescent="0.25">
      <c r="A19" s="28" t="s">
        <v>236</v>
      </c>
      <c r="C19" s="71" t="str">
        <f>COUNTA(B5:B17)&amp;" of 13 parameters filled"</f>
        <v>11 of 13 parameters filled</v>
      </c>
      <c r="D19" s="65"/>
    </row>
  </sheetData>
  <mergeCells count="3">
    <mergeCell ref="A1:D1"/>
    <mergeCell ref="A2:D2"/>
    <mergeCell ref="C19:D19"/>
  </mergeCells>
  <hyperlinks>
    <hyperlink ref="A19" location="INDEX!A1" display="&lt;&lt; Back to INDEX" xr:uid="{00000000-0004-0000-4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5.5703125" style="1" bestFit="1" customWidth="1"/>
    <col min="3" max="3" width="5.85546875" style="1" bestFit="1" customWidth="1"/>
    <col min="4" max="4" width="85.140625" style="1" bestFit="1" customWidth="1"/>
  </cols>
  <sheetData>
    <row r="1" spans="1:4" ht="15.75" x14ac:dyDescent="0.25">
      <c r="A1" s="79" t="s">
        <v>797</v>
      </c>
      <c r="B1" s="65"/>
      <c r="C1" s="65"/>
      <c r="D1" s="65"/>
    </row>
    <row r="2" spans="1:4" x14ac:dyDescent="0.25">
      <c r="A2" s="64" t="s">
        <v>798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799</v>
      </c>
      <c r="B5" s="27">
        <v>450</v>
      </c>
      <c r="C5" s="11" t="s">
        <v>228</v>
      </c>
      <c r="D5" s="12" t="s">
        <v>1746</v>
      </c>
    </row>
    <row r="6" spans="1:4" x14ac:dyDescent="0.25">
      <c r="A6" s="26" t="s">
        <v>800</v>
      </c>
      <c r="B6" s="27">
        <v>60</v>
      </c>
      <c r="C6" s="13" t="s">
        <v>350</v>
      </c>
      <c r="D6" s="14" t="s">
        <v>1747</v>
      </c>
    </row>
    <row r="7" spans="1:4" x14ac:dyDescent="0.25">
      <c r="A7" s="26" t="s">
        <v>801</v>
      </c>
      <c r="B7" s="27">
        <v>12</v>
      </c>
      <c r="C7" s="11" t="s">
        <v>787</v>
      </c>
      <c r="D7" s="12" t="s">
        <v>1748</v>
      </c>
    </row>
    <row r="8" spans="1:4" x14ac:dyDescent="0.25">
      <c r="A8" s="26" t="s">
        <v>802</v>
      </c>
      <c r="B8" s="27">
        <v>8</v>
      </c>
      <c r="C8" s="13" t="s">
        <v>787</v>
      </c>
      <c r="D8" s="14" t="s">
        <v>1749</v>
      </c>
    </row>
    <row r="9" spans="1:4" x14ac:dyDescent="0.25">
      <c r="A9" s="26" t="s">
        <v>803</v>
      </c>
      <c r="B9" s="27">
        <v>20</v>
      </c>
      <c r="C9" s="11" t="s">
        <v>787</v>
      </c>
      <c r="D9" s="12" t="s">
        <v>1750</v>
      </c>
    </row>
    <row r="10" spans="1:4" x14ac:dyDescent="0.25">
      <c r="A10" s="26" t="s">
        <v>804</v>
      </c>
      <c r="B10" s="27" t="s">
        <v>1609</v>
      </c>
      <c r="C10" s="13" t="s">
        <v>458</v>
      </c>
      <c r="D10" s="14" t="s">
        <v>1751</v>
      </c>
    </row>
    <row r="11" spans="1:4" x14ac:dyDescent="0.25">
      <c r="A11" s="26" t="s">
        <v>805</v>
      </c>
      <c r="B11" s="27">
        <v>20</v>
      </c>
      <c r="C11" s="11" t="s">
        <v>228</v>
      </c>
      <c r="D11" s="12" t="s">
        <v>1752</v>
      </c>
    </row>
    <row r="12" spans="1:4" x14ac:dyDescent="0.25">
      <c r="A12" s="26" t="s">
        <v>806</v>
      </c>
      <c r="B12" s="27">
        <v>30</v>
      </c>
      <c r="C12" s="13" t="s">
        <v>228</v>
      </c>
      <c r="D12" s="14" t="s">
        <v>1753</v>
      </c>
    </row>
    <row r="13" spans="1:4" x14ac:dyDescent="0.25">
      <c r="A13" s="26" t="s">
        <v>807</v>
      </c>
      <c r="B13" s="27">
        <v>47</v>
      </c>
      <c r="C13" s="11" t="s">
        <v>444</v>
      </c>
      <c r="D13" s="12" t="s">
        <v>1754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8"/>
  <sheetViews>
    <sheetView showGridLines="0" zoomScale="130" zoomScaleNormal="130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54.7109375" style="1" bestFit="1" customWidth="1"/>
    <col min="3" max="3" width="14.85546875" style="1" bestFit="1" customWidth="1"/>
    <col min="4" max="4" width="104.28515625" style="1" bestFit="1" customWidth="1"/>
  </cols>
  <sheetData>
    <row r="1" spans="1:4" ht="15.75" x14ac:dyDescent="0.25">
      <c r="A1" s="79" t="s">
        <v>808</v>
      </c>
      <c r="B1" s="65"/>
      <c r="C1" s="65"/>
      <c r="D1" s="65"/>
    </row>
    <row r="2" spans="1:4" x14ac:dyDescent="0.25">
      <c r="A2" s="64" t="s">
        <v>809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785</v>
      </c>
      <c r="B5" s="27">
        <v>12</v>
      </c>
      <c r="C5" s="11" t="s">
        <v>772</v>
      </c>
      <c r="D5" s="12" t="s">
        <v>1757</v>
      </c>
    </row>
    <row r="6" spans="1:4" x14ac:dyDescent="0.25">
      <c r="A6" s="26" t="s">
        <v>773</v>
      </c>
      <c r="B6" s="27">
        <v>28</v>
      </c>
      <c r="C6" s="13" t="s">
        <v>444</v>
      </c>
      <c r="D6" s="14" t="s">
        <v>1758</v>
      </c>
    </row>
    <row r="7" spans="1:4" x14ac:dyDescent="0.25">
      <c r="A7" s="26" t="s">
        <v>810</v>
      </c>
      <c r="B7" s="27">
        <v>4000</v>
      </c>
      <c r="C7" s="11" t="s">
        <v>277</v>
      </c>
      <c r="D7" s="12" t="s">
        <v>1759</v>
      </c>
    </row>
    <row r="8" spans="1:4" x14ac:dyDescent="0.25">
      <c r="A8" s="26" t="s">
        <v>811</v>
      </c>
      <c r="B8" s="27">
        <v>280</v>
      </c>
      <c r="C8" s="13" t="s">
        <v>228</v>
      </c>
      <c r="D8" s="14" t="s">
        <v>1760</v>
      </c>
    </row>
    <row r="9" spans="1:4" x14ac:dyDescent="0.25">
      <c r="A9" s="26" t="s">
        <v>812</v>
      </c>
      <c r="B9" s="27">
        <v>150</v>
      </c>
      <c r="C9" s="11" t="s">
        <v>350</v>
      </c>
      <c r="D9" s="12" t="s">
        <v>1761</v>
      </c>
    </row>
    <row r="10" spans="1:4" x14ac:dyDescent="0.25">
      <c r="A10" s="26" t="s">
        <v>788</v>
      </c>
      <c r="B10" s="27">
        <v>9.8000000000000007</v>
      </c>
      <c r="C10" s="13" t="s">
        <v>569</v>
      </c>
      <c r="D10" s="14" t="s">
        <v>1762</v>
      </c>
    </row>
    <row r="11" spans="1:4" x14ac:dyDescent="0.25">
      <c r="A11" s="26" t="s">
        <v>789</v>
      </c>
      <c r="B11" s="27">
        <v>4</v>
      </c>
      <c r="C11" s="11" t="s">
        <v>327</v>
      </c>
      <c r="D11" s="12" t="s">
        <v>1763</v>
      </c>
    </row>
    <row r="12" spans="1:4" x14ac:dyDescent="0.25">
      <c r="A12" s="26" t="s">
        <v>813</v>
      </c>
      <c r="B12" s="27">
        <v>400</v>
      </c>
      <c r="C12" s="13" t="s">
        <v>779</v>
      </c>
      <c r="D12" s="14" t="s">
        <v>1764</v>
      </c>
    </row>
    <row r="13" spans="1:4" x14ac:dyDescent="0.25">
      <c r="A13" s="26" t="s">
        <v>814</v>
      </c>
      <c r="B13" s="27" t="s">
        <v>1755</v>
      </c>
      <c r="C13" s="11" t="s">
        <v>815</v>
      </c>
      <c r="D13" s="12" t="s">
        <v>1765</v>
      </c>
    </row>
    <row r="14" spans="1:4" x14ac:dyDescent="0.25">
      <c r="A14" s="26" t="s">
        <v>816</v>
      </c>
      <c r="B14" s="27" t="s">
        <v>1756</v>
      </c>
      <c r="C14" s="13" t="s">
        <v>206</v>
      </c>
      <c r="D14" s="14" t="s">
        <v>1766</v>
      </c>
    </row>
    <row r="15" spans="1:4" x14ac:dyDescent="0.25">
      <c r="A15" s="26" t="s">
        <v>234</v>
      </c>
      <c r="B15" s="27"/>
      <c r="C15" s="11"/>
      <c r="D15" s="12"/>
    </row>
    <row r="16" spans="1:4" x14ac:dyDescent="0.25">
      <c r="A16" s="26" t="s">
        <v>235</v>
      </c>
      <c r="B16" s="27"/>
      <c r="C16" s="13"/>
      <c r="D16" s="14"/>
    </row>
    <row r="18" spans="1:4" ht="15.75" customHeight="1" x14ac:dyDescent="0.25">
      <c r="A18" s="28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4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17"/>
  <sheetViews>
    <sheetView showGridLines="0" zoomScale="85" zoomScaleNormal="85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52.28515625" style="1" bestFit="1" customWidth="1"/>
    <col min="3" max="3" width="5.85546875" style="1" bestFit="1" customWidth="1"/>
    <col min="4" max="4" width="86.85546875" style="1" bestFit="1" customWidth="1"/>
  </cols>
  <sheetData>
    <row r="1" spans="1:4" ht="15.75" x14ac:dyDescent="0.25">
      <c r="A1" s="79" t="s">
        <v>1778</v>
      </c>
      <c r="B1" s="65"/>
      <c r="C1" s="65"/>
      <c r="D1" s="65"/>
    </row>
    <row r="2" spans="1:4" x14ac:dyDescent="0.25">
      <c r="A2" s="64" t="s">
        <v>817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818</v>
      </c>
      <c r="B5" s="27" t="s">
        <v>1607</v>
      </c>
      <c r="C5" s="11" t="s">
        <v>206</v>
      </c>
      <c r="D5" s="12" t="s">
        <v>1769</v>
      </c>
    </row>
    <row r="6" spans="1:4" x14ac:dyDescent="0.25">
      <c r="A6" s="26" t="s">
        <v>785</v>
      </c>
      <c r="B6" s="27">
        <v>15</v>
      </c>
      <c r="C6" s="13" t="s">
        <v>772</v>
      </c>
      <c r="D6" s="14" t="s">
        <v>1770</v>
      </c>
    </row>
    <row r="7" spans="1:4" x14ac:dyDescent="0.25">
      <c r="A7" s="26" t="s">
        <v>773</v>
      </c>
      <c r="B7" s="27">
        <v>50</v>
      </c>
      <c r="C7" s="11" t="s">
        <v>444</v>
      </c>
      <c r="D7" s="12" t="s">
        <v>1771</v>
      </c>
    </row>
    <row r="8" spans="1:4" x14ac:dyDescent="0.25">
      <c r="A8" s="26" t="s">
        <v>819</v>
      </c>
      <c r="B8" s="27" t="s">
        <v>1767</v>
      </c>
      <c r="C8" s="13" t="s">
        <v>548</v>
      </c>
      <c r="D8" s="14" t="s">
        <v>1772</v>
      </c>
    </row>
    <row r="9" spans="1:4" x14ac:dyDescent="0.25">
      <c r="A9" s="26" t="s">
        <v>820</v>
      </c>
      <c r="B9" s="27">
        <v>2</v>
      </c>
      <c r="C9" s="11" t="s">
        <v>365</v>
      </c>
      <c r="D9" s="12" t="s">
        <v>1773</v>
      </c>
    </row>
    <row r="10" spans="1:4" x14ac:dyDescent="0.25">
      <c r="A10" s="26" t="s">
        <v>821</v>
      </c>
      <c r="B10" s="27">
        <v>10</v>
      </c>
      <c r="C10" s="13" t="s">
        <v>350</v>
      </c>
      <c r="D10" s="14" t="s">
        <v>1774</v>
      </c>
    </row>
    <row r="11" spans="1:4" x14ac:dyDescent="0.25">
      <c r="A11" s="26" t="s">
        <v>822</v>
      </c>
      <c r="B11" s="27">
        <v>48</v>
      </c>
      <c r="C11" s="11" t="s">
        <v>779</v>
      </c>
      <c r="D11" s="12" t="s">
        <v>1775</v>
      </c>
    </row>
    <row r="12" spans="1:4" x14ac:dyDescent="0.25">
      <c r="A12" s="26" t="s">
        <v>699</v>
      </c>
      <c r="B12" s="27">
        <v>60000</v>
      </c>
      <c r="C12" s="13" t="s">
        <v>472</v>
      </c>
      <c r="D12" s="14" t="s">
        <v>1776</v>
      </c>
    </row>
    <row r="13" spans="1:4" x14ac:dyDescent="0.25">
      <c r="A13" s="26" t="s">
        <v>383</v>
      </c>
      <c r="B13" s="27" t="s">
        <v>1768</v>
      </c>
      <c r="C13" s="11" t="s">
        <v>206</v>
      </c>
      <c r="D13" s="12" t="s">
        <v>1777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96" style="1" bestFit="1" customWidth="1"/>
    <col min="3" max="3" width="6.7109375" style="1" bestFit="1" customWidth="1"/>
    <col min="4" max="4" width="80.140625" style="1" bestFit="1" customWidth="1"/>
  </cols>
  <sheetData>
    <row r="1" spans="1:4" ht="15.75" x14ac:dyDescent="0.25">
      <c r="A1" s="79" t="s">
        <v>1779</v>
      </c>
      <c r="B1" s="65"/>
      <c r="C1" s="65"/>
      <c r="D1" s="65"/>
    </row>
    <row r="2" spans="1:4" x14ac:dyDescent="0.25">
      <c r="A2" s="64" t="s">
        <v>823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824</v>
      </c>
      <c r="B5" s="27">
        <v>100</v>
      </c>
      <c r="C5" s="11" t="s">
        <v>350</v>
      </c>
      <c r="D5" s="12" t="s">
        <v>1785</v>
      </c>
    </row>
    <row r="6" spans="1:4" x14ac:dyDescent="0.25">
      <c r="A6" s="26" t="s">
        <v>825</v>
      </c>
      <c r="B6" s="27" t="s">
        <v>1780</v>
      </c>
      <c r="C6" s="13" t="s">
        <v>206</v>
      </c>
      <c r="D6" s="14" t="s">
        <v>1786</v>
      </c>
    </row>
    <row r="7" spans="1:4" x14ac:dyDescent="0.25">
      <c r="A7" s="26" t="s">
        <v>826</v>
      </c>
      <c r="B7" s="27" t="s">
        <v>1781</v>
      </c>
      <c r="C7" s="11" t="s">
        <v>206</v>
      </c>
      <c r="D7" s="12" t="s">
        <v>1787</v>
      </c>
    </row>
    <row r="8" spans="1:4" x14ac:dyDescent="0.25">
      <c r="A8" s="26" t="s">
        <v>827</v>
      </c>
      <c r="B8" s="27" t="s">
        <v>1782</v>
      </c>
      <c r="C8" s="13" t="s">
        <v>206</v>
      </c>
      <c r="D8" s="14" t="s">
        <v>1788</v>
      </c>
    </row>
    <row r="9" spans="1:4" x14ac:dyDescent="0.25">
      <c r="A9" s="26" t="s">
        <v>828</v>
      </c>
      <c r="B9" s="27" t="s">
        <v>1783</v>
      </c>
      <c r="C9" s="11" t="s">
        <v>206</v>
      </c>
      <c r="D9" s="12" t="s">
        <v>1789</v>
      </c>
    </row>
    <row r="10" spans="1:4" x14ac:dyDescent="0.25">
      <c r="A10" s="26" t="s">
        <v>829</v>
      </c>
      <c r="B10" s="27" t="s">
        <v>231</v>
      </c>
      <c r="C10" s="13" t="s">
        <v>232</v>
      </c>
      <c r="D10" s="14" t="s">
        <v>1790</v>
      </c>
    </row>
    <row r="11" spans="1:4" x14ac:dyDescent="0.25">
      <c r="A11" s="26" t="s">
        <v>830</v>
      </c>
      <c r="B11" s="27">
        <v>55</v>
      </c>
      <c r="C11" s="11" t="s">
        <v>831</v>
      </c>
      <c r="D11" s="12" t="s">
        <v>1791</v>
      </c>
    </row>
    <row r="12" spans="1:4" x14ac:dyDescent="0.25">
      <c r="A12" s="26" t="s">
        <v>832</v>
      </c>
      <c r="B12" s="27">
        <v>1.58</v>
      </c>
      <c r="C12" s="13" t="s">
        <v>833</v>
      </c>
      <c r="D12" s="14" t="s">
        <v>1792</v>
      </c>
    </row>
    <row r="13" spans="1:4" x14ac:dyDescent="0.25">
      <c r="A13" s="26" t="s">
        <v>834</v>
      </c>
      <c r="B13" s="27" t="s">
        <v>1784</v>
      </c>
      <c r="C13" s="11" t="s">
        <v>206</v>
      </c>
      <c r="D13" s="12" t="s">
        <v>1793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7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29" style="1" bestFit="1" customWidth="1"/>
    <col min="2" max="2" width="41" style="1" bestFit="1" customWidth="1"/>
    <col min="3" max="3" width="6.7109375" style="1" bestFit="1" customWidth="1"/>
    <col min="4" max="4" width="65.5703125" style="1" bestFit="1" customWidth="1"/>
  </cols>
  <sheetData>
    <row r="1" spans="1:4" ht="15.75" x14ac:dyDescent="0.25">
      <c r="A1" s="79" t="s">
        <v>1794</v>
      </c>
      <c r="B1" s="65"/>
      <c r="C1" s="65"/>
      <c r="D1" s="65"/>
    </row>
    <row r="2" spans="1:4" x14ac:dyDescent="0.25">
      <c r="A2" s="64" t="s">
        <v>835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836</v>
      </c>
      <c r="B5" s="27">
        <v>20</v>
      </c>
      <c r="C5" s="11" t="s">
        <v>787</v>
      </c>
      <c r="D5" s="12" t="s">
        <v>1797</v>
      </c>
    </row>
    <row r="6" spans="1:4" x14ac:dyDescent="0.25">
      <c r="A6" s="26" t="s">
        <v>837</v>
      </c>
      <c r="B6" s="27" t="s">
        <v>1795</v>
      </c>
      <c r="C6" s="13" t="s">
        <v>206</v>
      </c>
      <c r="D6" s="14" t="s">
        <v>1798</v>
      </c>
    </row>
    <row r="7" spans="1:4" x14ac:dyDescent="0.25">
      <c r="A7" s="26" t="s">
        <v>805</v>
      </c>
      <c r="B7" s="27">
        <v>20</v>
      </c>
      <c r="C7" s="11" t="s">
        <v>228</v>
      </c>
      <c r="D7" s="12" t="s">
        <v>1799</v>
      </c>
    </row>
    <row r="8" spans="1:4" x14ac:dyDescent="0.25">
      <c r="A8" s="26" t="s">
        <v>806</v>
      </c>
      <c r="B8" s="27">
        <v>30</v>
      </c>
      <c r="C8" s="13" t="s">
        <v>228</v>
      </c>
      <c r="D8" s="14" t="s">
        <v>1800</v>
      </c>
    </row>
    <row r="9" spans="1:4" x14ac:dyDescent="0.25">
      <c r="A9" s="26" t="s">
        <v>838</v>
      </c>
      <c r="B9" s="27" t="s">
        <v>1609</v>
      </c>
      <c r="C9" s="11" t="s">
        <v>458</v>
      </c>
      <c r="D9" s="12" t="s">
        <v>1801</v>
      </c>
    </row>
    <row r="10" spans="1:4" x14ac:dyDescent="0.25">
      <c r="A10" s="26" t="s">
        <v>839</v>
      </c>
      <c r="B10" s="27">
        <v>0.75</v>
      </c>
      <c r="C10" s="13" t="s">
        <v>257</v>
      </c>
      <c r="D10" s="14" t="s">
        <v>1802</v>
      </c>
    </row>
    <row r="11" spans="1:4" x14ac:dyDescent="0.25">
      <c r="A11" s="26" t="s">
        <v>840</v>
      </c>
      <c r="B11" s="27" t="s">
        <v>1796</v>
      </c>
      <c r="C11" s="11" t="s">
        <v>458</v>
      </c>
      <c r="D11" s="12" t="s">
        <v>1803</v>
      </c>
    </row>
    <row r="12" spans="1:4" x14ac:dyDescent="0.25">
      <c r="A12" s="26" t="s">
        <v>841</v>
      </c>
      <c r="B12" s="27" t="s">
        <v>231</v>
      </c>
      <c r="C12" s="13" t="s">
        <v>232</v>
      </c>
      <c r="D12" s="14" t="s">
        <v>1804</v>
      </c>
    </row>
    <row r="13" spans="1:4" x14ac:dyDescent="0.25">
      <c r="A13" s="26" t="s">
        <v>842</v>
      </c>
      <c r="B13" s="27" t="s">
        <v>231</v>
      </c>
      <c r="C13" s="11" t="s">
        <v>232</v>
      </c>
      <c r="D13" s="12" t="s">
        <v>1805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6"/>
  <sheetViews>
    <sheetView showGridLines="0" topLeftCell="A4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47.5703125" style="1" bestFit="1" customWidth="1"/>
    <col min="3" max="3" width="6.7109375" style="1" bestFit="1" customWidth="1"/>
    <col min="4" max="4" width="82.42578125" style="1" bestFit="1" customWidth="1"/>
  </cols>
  <sheetData>
    <row r="1" spans="1:4" ht="15.75" x14ac:dyDescent="0.25">
      <c r="A1" s="79" t="s">
        <v>843</v>
      </c>
      <c r="B1" s="65"/>
      <c r="C1" s="65"/>
      <c r="D1" s="65"/>
    </row>
    <row r="2" spans="1:4" x14ac:dyDescent="0.25">
      <c r="A2" s="64" t="s">
        <v>844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845</v>
      </c>
      <c r="B5" s="27" t="s">
        <v>1806</v>
      </c>
      <c r="C5" s="11" t="s">
        <v>206</v>
      </c>
      <c r="D5" s="12" t="s">
        <v>1809</v>
      </c>
    </row>
    <row r="6" spans="1:4" x14ac:dyDescent="0.25">
      <c r="A6" s="26" t="s">
        <v>294</v>
      </c>
      <c r="B6" s="27" t="s">
        <v>1261</v>
      </c>
      <c r="C6" s="13" t="s">
        <v>257</v>
      </c>
      <c r="D6" s="14" t="s">
        <v>1810</v>
      </c>
    </row>
    <row r="7" spans="1:4" x14ac:dyDescent="0.25">
      <c r="A7" s="26" t="s">
        <v>846</v>
      </c>
      <c r="B7" s="27" t="s">
        <v>1807</v>
      </c>
      <c r="C7" s="11" t="s">
        <v>206</v>
      </c>
      <c r="D7" s="12" t="s">
        <v>1811</v>
      </c>
    </row>
    <row r="8" spans="1:4" x14ac:dyDescent="0.25">
      <c r="A8" s="26" t="s">
        <v>847</v>
      </c>
      <c r="B8" s="27">
        <v>400</v>
      </c>
      <c r="C8" s="13" t="s">
        <v>779</v>
      </c>
      <c r="D8" s="14" t="s">
        <v>1812</v>
      </c>
    </row>
    <row r="9" spans="1:4" x14ac:dyDescent="0.25">
      <c r="A9" s="26" t="s">
        <v>848</v>
      </c>
      <c r="B9" s="27" t="s">
        <v>1808</v>
      </c>
      <c r="C9" s="11" t="s">
        <v>206</v>
      </c>
      <c r="D9" s="12" t="s">
        <v>1813</v>
      </c>
    </row>
    <row r="10" spans="1:4" x14ac:dyDescent="0.25">
      <c r="A10" s="26" t="s">
        <v>849</v>
      </c>
      <c r="B10" s="27" t="s">
        <v>231</v>
      </c>
      <c r="C10" s="13" t="s">
        <v>232</v>
      </c>
      <c r="D10" s="14" t="s">
        <v>1814</v>
      </c>
    </row>
    <row r="11" spans="1:4" x14ac:dyDescent="0.25">
      <c r="A11" s="26" t="s">
        <v>850</v>
      </c>
      <c r="B11" s="27">
        <v>900</v>
      </c>
      <c r="C11" s="11" t="s">
        <v>298</v>
      </c>
      <c r="D11" s="12" t="s">
        <v>1815</v>
      </c>
    </row>
    <row r="12" spans="1:4" x14ac:dyDescent="0.25">
      <c r="A12" s="26" t="s">
        <v>851</v>
      </c>
      <c r="B12" s="27" t="s">
        <v>231</v>
      </c>
      <c r="C12" s="13" t="s">
        <v>232</v>
      </c>
      <c r="D12" s="14" t="s">
        <v>1816</v>
      </c>
    </row>
    <row r="13" spans="1:4" x14ac:dyDescent="0.25">
      <c r="A13" s="26" t="s">
        <v>234</v>
      </c>
      <c r="B13" s="27"/>
      <c r="C13" s="11"/>
      <c r="D13" s="12"/>
    </row>
    <row r="14" spans="1:4" x14ac:dyDescent="0.25">
      <c r="A14" s="26" t="s">
        <v>235</v>
      </c>
      <c r="B14" s="27"/>
      <c r="C14" s="13"/>
      <c r="D14" s="14"/>
    </row>
    <row r="16" spans="1:4" ht="15.75" customHeight="1" x14ac:dyDescent="0.25">
      <c r="A16" s="28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4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34.28515625" style="1" bestFit="1" customWidth="1"/>
    <col min="3" max="3" width="6.7109375" style="1" bestFit="1" customWidth="1"/>
    <col min="4" max="4" width="76.7109375" style="1" bestFit="1" customWidth="1"/>
  </cols>
  <sheetData>
    <row r="1" spans="1:4" ht="15.75" x14ac:dyDescent="0.25">
      <c r="A1" s="79" t="s">
        <v>1817</v>
      </c>
      <c r="B1" s="65"/>
      <c r="C1" s="65"/>
      <c r="D1" s="65"/>
    </row>
    <row r="2" spans="1:4" x14ac:dyDescent="0.25">
      <c r="A2" s="64" t="s">
        <v>852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853</v>
      </c>
      <c r="B5" s="27" t="s">
        <v>1818</v>
      </c>
      <c r="C5" s="11" t="s">
        <v>206</v>
      </c>
      <c r="D5" s="12" t="s">
        <v>1821</v>
      </c>
    </row>
    <row r="6" spans="1:4" x14ac:dyDescent="0.25">
      <c r="A6" s="26" t="s">
        <v>854</v>
      </c>
      <c r="B6" s="27">
        <v>10</v>
      </c>
      <c r="C6" s="13" t="s">
        <v>855</v>
      </c>
      <c r="D6" s="14" t="s">
        <v>1822</v>
      </c>
    </row>
    <row r="7" spans="1:4" x14ac:dyDescent="0.25">
      <c r="A7" s="26" t="s">
        <v>856</v>
      </c>
      <c r="B7" s="27" t="s">
        <v>1819</v>
      </c>
      <c r="C7" s="11" t="s">
        <v>206</v>
      </c>
      <c r="D7" s="12" t="s">
        <v>1823</v>
      </c>
    </row>
    <row r="8" spans="1:4" x14ac:dyDescent="0.25">
      <c r="A8" s="26" t="s">
        <v>857</v>
      </c>
      <c r="B8" s="27">
        <v>30</v>
      </c>
      <c r="C8" s="13" t="s">
        <v>291</v>
      </c>
      <c r="D8" s="14" t="s">
        <v>1824</v>
      </c>
    </row>
    <row r="9" spans="1:4" x14ac:dyDescent="0.25">
      <c r="A9" s="26" t="s">
        <v>858</v>
      </c>
      <c r="B9" s="27">
        <v>240</v>
      </c>
      <c r="C9" s="11" t="s">
        <v>779</v>
      </c>
      <c r="D9" s="12" t="s">
        <v>1825</v>
      </c>
    </row>
    <row r="10" spans="1:4" x14ac:dyDescent="0.25">
      <c r="A10" s="26" t="s">
        <v>859</v>
      </c>
      <c r="B10" s="27">
        <v>400</v>
      </c>
      <c r="C10" s="13" t="s">
        <v>779</v>
      </c>
      <c r="D10" s="14" t="s">
        <v>1826</v>
      </c>
    </row>
    <row r="11" spans="1:4" x14ac:dyDescent="0.25">
      <c r="A11" s="26" t="s">
        <v>860</v>
      </c>
      <c r="B11" s="27">
        <v>4</v>
      </c>
      <c r="C11" s="11" t="s">
        <v>472</v>
      </c>
      <c r="D11" s="12" t="s">
        <v>1827</v>
      </c>
    </row>
    <row r="12" spans="1:4" x14ac:dyDescent="0.25">
      <c r="A12" s="26" t="s">
        <v>861</v>
      </c>
      <c r="B12" s="27" t="s">
        <v>231</v>
      </c>
      <c r="C12" s="13" t="s">
        <v>232</v>
      </c>
      <c r="D12" s="14" t="s">
        <v>1828</v>
      </c>
    </row>
    <row r="13" spans="1:4" x14ac:dyDescent="0.25">
      <c r="A13" s="26" t="s">
        <v>862</v>
      </c>
      <c r="B13" s="27" t="s">
        <v>1820</v>
      </c>
      <c r="C13" s="11" t="s">
        <v>206</v>
      </c>
      <c r="D13" s="12" t="s">
        <v>1829</v>
      </c>
    </row>
    <row r="14" spans="1:4" x14ac:dyDescent="0.25">
      <c r="A14" s="26" t="s">
        <v>234</v>
      </c>
      <c r="B14" s="27"/>
      <c r="C14" s="13"/>
      <c r="D14" s="14"/>
    </row>
    <row r="15" spans="1:4" x14ac:dyDescent="0.25">
      <c r="A15" s="26" t="s">
        <v>235</v>
      </c>
      <c r="B15" s="27"/>
      <c r="C15" s="11"/>
      <c r="D15" s="12"/>
    </row>
    <row r="17" spans="1:4" ht="15.75" customHeight="1" x14ac:dyDescent="0.25">
      <c r="A17" s="28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6"/>
  <sheetViews>
    <sheetView showGridLines="0" zoomScaleNormal="100" workbookViewId="0">
      <selection activeCell="D8" sqref="D8"/>
    </sheetView>
  </sheetViews>
  <sheetFormatPr defaultColWidth="8.7109375" defaultRowHeight="15" x14ac:dyDescent="0.25"/>
  <cols>
    <col min="1" max="1" width="36" style="1" customWidth="1"/>
    <col min="2" max="2" width="36.28515625" style="1" bestFit="1" customWidth="1"/>
    <col min="3" max="3" width="5.140625" style="1" bestFit="1" customWidth="1"/>
    <col min="4" max="4" width="60.140625" style="1" bestFit="1" customWidth="1"/>
  </cols>
  <sheetData>
    <row r="1" spans="1:4" ht="15.75" x14ac:dyDescent="0.25">
      <c r="A1" s="79" t="s">
        <v>1830</v>
      </c>
      <c r="B1" s="65"/>
      <c r="C1" s="65"/>
      <c r="D1" s="65"/>
    </row>
    <row r="2" spans="1:4" x14ac:dyDescent="0.25">
      <c r="A2" s="64" t="s">
        <v>863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623</v>
      </c>
      <c r="B5" s="27" t="s">
        <v>1831</v>
      </c>
      <c r="C5" s="11" t="s">
        <v>206</v>
      </c>
      <c r="D5" s="12" t="s">
        <v>1835</v>
      </c>
    </row>
    <row r="6" spans="1:4" x14ac:dyDescent="0.25">
      <c r="A6" s="26" t="s">
        <v>864</v>
      </c>
      <c r="B6" s="27">
        <v>280</v>
      </c>
      <c r="C6" s="13" t="s">
        <v>228</v>
      </c>
      <c r="D6" s="14" t="s">
        <v>1836</v>
      </c>
    </row>
    <row r="7" spans="1:4" x14ac:dyDescent="0.25">
      <c r="A7" s="26" t="s">
        <v>865</v>
      </c>
      <c r="B7" s="27">
        <v>120</v>
      </c>
      <c r="C7" s="11" t="s">
        <v>228</v>
      </c>
      <c r="D7" s="12" t="s">
        <v>1837</v>
      </c>
    </row>
    <row r="8" spans="1:4" x14ac:dyDescent="0.25">
      <c r="A8" s="26" t="s">
        <v>866</v>
      </c>
      <c r="B8" s="27" t="s">
        <v>1832</v>
      </c>
      <c r="C8" s="13" t="s">
        <v>206</v>
      </c>
      <c r="D8" s="14" t="s">
        <v>2113</v>
      </c>
    </row>
    <row r="9" spans="1:4" x14ac:dyDescent="0.25">
      <c r="A9" s="26" t="s">
        <v>867</v>
      </c>
      <c r="B9" s="27" t="s">
        <v>1833</v>
      </c>
      <c r="C9" s="11" t="s">
        <v>458</v>
      </c>
      <c r="D9" s="12" t="s">
        <v>1838</v>
      </c>
    </row>
    <row r="10" spans="1:4" x14ac:dyDescent="0.25">
      <c r="A10" s="26" t="s">
        <v>868</v>
      </c>
      <c r="B10" s="27">
        <v>9</v>
      </c>
      <c r="C10" s="13" t="s">
        <v>787</v>
      </c>
      <c r="D10" s="14" t="s">
        <v>1839</v>
      </c>
    </row>
    <row r="11" spans="1:4" x14ac:dyDescent="0.25">
      <c r="A11" s="26" t="s">
        <v>869</v>
      </c>
      <c r="B11" s="27">
        <v>10</v>
      </c>
      <c r="C11" s="11" t="s">
        <v>317</v>
      </c>
      <c r="D11" s="12" t="s">
        <v>1840</v>
      </c>
    </row>
    <row r="12" spans="1:4" x14ac:dyDescent="0.25">
      <c r="A12" s="26" t="s">
        <v>870</v>
      </c>
      <c r="B12" s="27" t="s">
        <v>1834</v>
      </c>
      <c r="C12" s="13" t="s">
        <v>206</v>
      </c>
      <c r="D12" s="14" t="s">
        <v>1841</v>
      </c>
    </row>
    <row r="13" spans="1:4" x14ac:dyDescent="0.25">
      <c r="A13" s="26" t="s">
        <v>234</v>
      </c>
      <c r="B13" s="27"/>
      <c r="C13" s="11"/>
      <c r="D13" s="12"/>
    </row>
    <row r="14" spans="1:4" x14ac:dyDescent="0.25">
      <c r="A14" s="26" t="s">
        <v>235</v>
      </c>
      <c r="B14" s="27"/>
      <c r="C14" s="13"/>
      <c r="D14" s="14"/>
    </row>
    <row r="16" spans="1:4" ht="15.75" customHeight="1" x14ac:dyDescent="0.25">
      <c r="A16" s="28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4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19"/>
  <sheetViews>
    <sheetView showGridLines="0" zoomScaleNormal="100" workbookViewId="0">
      <selection activeCell="D21" sqref="D21"/>
    </sheetView>
  </sheetViews>
  <sheetFormatPr defaultColWidth="8.7109375" defaultRowHeight="15" x14ac:dyDescent="0.25"/>
  <cols>
    <col min="1" max="1" width="36" style="1" customWidth="1"/>
    <col min="2" max="2" width="21.85546875" style="1" bestFit="1" customWidth="1"/>
    <col min="3" max="3" width="5.7109375" style="1" bestFit="1" customWidth="1"/>
    <col min="4" max="4" width="94.140625" style="1" bestFit="1" customWidth="1"/>
  </cols>
  <sheetData>
    <row r="1" spans="1:4" ht="15.75" x14ac:dyDescent="0.25">
      <c r="A1" s="79" t="s">
        <v>1842</v>
      </c>
      <c r="B1" s="65"/>
      <c r="C1" s="65"/>
      <c r="D1" s="65"/>
    </row>
    <row r="2" spans="1:4" x14ac:dyDescent="0.25">
      <c r="A2" s="64" t="s">
        <v>871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872</v>
      </c>
      <c r="B5" s="27" t="s">
        <v>1843</v>
      </c>
      <c r="C5" s="11" t="s">
        <v>206</v>
      </c>
      <c r="D5" s="12" t="s">
        <v>1846</v>
      </c>
    </row>
    <row r="6" spans="1:4" x14ac:dyDescent="0.25">
      <c r="A6" s="26" t="s">
        <v>873</v>
      </c>
      <c r="B6" s="27">
        <v>25</v>
      </c>
      <c r="C6" s="13" t="s">
        <v>787</v>
      </c>
      <c r="D6" s="14" t="s">
        <v>1847</v>
      </c>
    </row>
    <row r="7" spans="1:4" x14ac:dyDescent="0.25">
      <c r="A7" s="26" t="s">
        <v>874</v>
      </c>
      <c r="B7" s="27">
        <v>80</v>
      </c>
      <c r="C7" s="11" t="s">
        <v>228</v>
      </c>
      <c r="D7" s="12" t="s">
        <v>1848</v>
      </c>
    </row>
    <row r="8" spans="1:4" x14ac:dyDescent="0.25">
      <c r="A8" s="26" t="s">
        <v>875</v>
      </c>
      <c r="B8" s="27">
        <v>50</v>
      </c>
      <c r="C8" s="13" t="s">
        <v>228</v>
      </c>
      <c r="D8" s="14" t="s">
        <v>1849</v>
      </c>
    </row>
    <row r="9" spans="1:4" x14ac:dyDescent="0.25">
      <c r="A9" s="26" t="s">
        <v>876</v>
      </c>
      <c r="B9" s="27">
        <v>75</v>
      </c>
      <c r="C9" s="11" t="s">
        <v>228</v>
      </c>
      <c r="D9" s="12" t="s">
        <v>1850</v>
      </c>
    </row>
    <row r="10" spans="1:4" x14ac:dyDescent="0.25">
      <c r="A10" s="26" t="s">
        <v>877</v>
      </c>
      <c r="B10" s="27">
        <v>45</v>
      </c>
      <c r="C10" s="13" t="s">
        <v>228</v>
      </c>
      <c r="D10" s="14" t="s">
        <v>1851</v>
      </c>
    </row>
    <row r="11" spans="1:4" x14ac:dyDescent="0.25">
      <c r="A11" s="26" t="s">
        <v>878</v>
      </c>
      <c r="B11" s="27" t="s">
        <v>1844</v>
      </c>
      <c r="C11" s="11" t="s">
        <v>458</v>
      </c>
      <c r="D11" s="12" t="s">
        <v>1852</v>
      </c>
    </row>
    <row r="12" spans="1:4" x14ac:dyDescent="0.25">
      <c r="A12" s="26" t="s">
        <v>879</v>
      </c>
      <c r="B12" s="27" t="s">
        <v>1844</v>
      </c>
      <c r="C12" s="13" t="s">
        <v>458</v>
      </c>
      <c r="D12" s="14" t="s">
        <v>1853</v>
      </c>
    </row>
    <row r="13" spans="1:4" x14ac:dyDescent="0.25">
      <c r="A13" s="26" t="s">
        <v>880</v>
      </c>
      <c r="B13" s="27">
        <v>6</v>
      </c>
      <c r="C13" s="11" t="s">
        <v>365</v>
      </c>
      <c r="D13" s="12" t="s">
        <v>1854</v>
      </c>
    </row>
    <row r="14" spans="1:4" x14ac:dyDescent="0.25">
      <c r="A14" s="26" t="s">
        <v>881</v>
      </c>
      <c r="B14" s="27">
        <v>10</v>
      </c>
      <c r="C14" s="13" t="s">
        <v>365</v>
      </c>
      <c r="D14" s="14" t="s">
        <v>1855</v>
      </c>
    </row>
    <row r="15" spans="1:4" x14ac:dyDescent="0.25">
      <c r="A15" s="26" t="s">
        <v>882</v>
      </c>
      <c r="B15" s="27" t="s">
        <v>1845</v>
      </c>
      <c r="C15" s="11" t="s">
        <v>206</v>
      </c>
      <c r="D15" s="12" t="s">
        <v>1856</v>
      </c>
    </row>
    <row r="16" spans="1:4" x14ac:dyDescent="0.25">
      <c r="A16" s="26" t="s">
        <v>234</v>
      </c>
      <c r="B16" s="27"/>
      <c r="C16" s="13"/>
      <c r="D16" s="14"/>
    </row>
    <row r="17" spans="1:4" x14ac:dyDescent="0.25">
      <c r="A17" s="26" t="s">
        <v>235</v>
      </c>
      <c r="B17" s="27"/>
      <c r="C17" s="11"/>
      <c r="D17" s="12"/>
    </row>
    <row r="19" spans="1:4" ht="15.75" customHeight="1" x14ac:dyDescent="0.25">
      <c r="A19" s="28" t="s">
        <v>236</v>
      </c>
      <c r="C19" s="71" t="str">
        <f>COUNTA(B5:B17)&amp;" of 13 parameters filled"</f>
        <v>11 of 13 parameters filled</v>
      </c>
      <c r="D19" s="65"/>
    </row>
  </sheetData>
  <mergeCells count="3">
    <mergeCell ref="A1:D1"/>
    <mergeCell ref="A2:D2"/>
    <mergeCell ref="C19:D19"/>
  </mergeCells>
  <hyperlinks>
    <hyperlink ref="A19" location="INDEX!A1" display="&lt;&lt; Back to INDEX" xr:uid="{00000000-0004-0000-4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0"/>
  <sheetViews>
    <sheetView showGridLines="0" workbookViewId="0">
      <selection activeCell="D52" sqref="D52"/>
    </sheetView>
  </sheetViews>
  <sheetFormatPr defaultColWidth="8.7109375" defaultRowHeight="15" x14ac:dyDescent="0.25"/>
  <cols>
    <col min="1" max="1" width="36" style="1" customWidth="1"/>
    <col min="2" max="2" width="54" style="1" bestFit="1" customWidth="1"/>
    <col min="3" max="3" width="4.5703125" style="1" bestFit="1" customWidth="1"/>
    <col min="4" max="4" width="81.7109375" style="1" bestFit="1" customWidth="1"/>
  </cols>
  <sheetData>
    <row r="1" spans="1:4" ht="15.75" x14ac:dyDescent="0.25">
      <c r="A1" s="79" t="s">
        <v>883</v>
      </c>
      <c r="B1" s="65"/>
      <c r="C1" s="65"/>
      <c r="D1" s="65"/>
    </row>
    <row r="2" spans="1:4" x14ac:dyDescent="0.25">
      <c r="A2" s="64" t="s">
        <v>884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6" t="s">
        <v>885</v>
      </c>
      <c r="B5" s="27" t="s">
        <v>1857</v>
      </c>
      <c r="C5" s="11" t="s">
        <v>206</v>
      </c>
      <c r="D5" s="12" t="s">
        <v>1861</v>
      </c>
    </row>
    <row r="6" spans="1:4" x14ac:dyDescent="0.25">
      <c r="A6" s="26" t="s">
        <v>886</v>
      </c>
      <c r="B6" s="27" t="s">
        <v>1298</v>
      </c>
      <c r="C6" s="13" t="s">
        <v>458</v>
      </c>
      <c r="D6" s="14" t="s">
        <v>1862</v>
      </c>
    </row>
    <row r="7" spans="1:4" x14ac:dyDescent="0.25">
      <c r="A7" s="26" t="s">
        <v>887</v>
      </c>
      <c r="B7" s="27" t="s">
        <v>1152</v>
      </c>
      <c r="C7" s="11" t="s">
        <v>228</v>
      </c>
      <c r="D7" s="12" t="s">
        <v>1863</v>
      </c>
    </row>
    <row r="8" spans="1:4" x14ac:dyDescent="0.25">
      <c r="A8" s="26" t="s">
        <v>888</v>
      </c>
      <c r="B8" s="27" t="s">
        <v>1858</v>
      </c>
      <c r="C8" s="13" t="s">
        <v>206</v>
      </c>
      <c r="D8" s="14" t="s">
        <v>1864</v>
      </c>
    </row>
    <row r="9" spans="1:4" x14ac:dyDescent="0.25">
      <c r="A9" s="26" t="s">
        <v>889</v>
      </c>
      <c r="B9" s="27" t="s">
        <v>1859</v>
      </c>
      <c r="C9" s="11" t="s">
        <v>206</v>
      </c>
      <c r="D9" s="12" t="s">
        <v>1865</v>
      </c>
    </row>
    <row r="10" spans="1:4" x14ac:dyDescent="0.25">
      <c r="A10" s="26" t="s">
        <v>890</v>
      </c>
      <c r="B10" s="27" t="s">
        <v>1860</v>
      </c>
      <c r="C10" s="13" t="s">
        <v>206</v>
      </c>
      <c r="D10" s="14" t="s">
        <v>1866</v>
      </c>
    </row>
    <row r="11" spans="1:4" x14ac:dyDescent="0.25">
      <c r="A11" s="26" t="s">
        <v>234</v>
      </c>
      <c r="B11" s="27"/>
      <c r="C11" s="11"/>
      <c r="D11" s="12"/>
    </row>
    <row r="12" spans="1:4" x14ac:dyDescent="0.25">
      <c r="A12" s="26" t="s">
        <v>235</v>
      </c>
      <c r="B12" s="27"/>
      <c r="C12" s="13"/>
      <c r="D12" s="14"/>
    </row>
    <row r="13" spans="1:4" ht="19.5" customHeight="1" x14ac:dyDescent="0.25">
      <c r="A13" s="28" t="s">
        <v>236</v>
      </c>
      <c r="D13" s="51" t="str">
        <f>COUNTA(B5:B12)&amp;" of 8 parameters filled"</f>
        <v>6 of 8 parameters filled</v>
      </c>
    </row>
    <row r="14" spans="1:4" x14ac:dyDescent="0.25">
      <c r="A14" s="41"/>
      <c r="C14" s="16"/>
    </row>
    <row r="15" spans="1:4" ht="15.75" customHeight="1" x14ac:dyDescent="0.25">
      <c r="A15" s="41"/>
    </row>
    <row r="16" spans="1:4" x14ac:dyDescent="0.25">
      <c r="A16" s="41"/>
    </row>
    <row r="17" spans="1:1" x14ac:dyDescent="0.25">
      <c r="A17" s="41"/>
    </row>
    <row r="18" spans="1:1" x14ac:dyDescent="0.25">
      <c r="A18" s="41"/>
    </row>
    <row r="19" spans="1:1" x14ac:dyDescent="0.25">
      <c r="A19" s="41"/>
    </row>
    <row r="20" spans="1:1" x14ac:dyDescent="0.25">
      <c r="A20" s="41"/>
    </row>
  </sheetData>
  <mergeCells count="2">
    <mergeCell ref="A1:D1"/>
    <mergeCell ref="A2:D2"/>
  </mergeCells>
  <hyperlinks>
    <hyperlink ref="A13" location="INDEX!A1" display="&lt;&lt; Back to INDEX" xr:uid="{95347499-9172-466F-9A41-F8EC336417FA}"/>
  </hyperlinks>
  <pageMargins left="0.75" right="0.75" top="1" bottom="1" header="0.511811023622047" footer="0.511811023622047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16"/>
  <sheetViews>
    <sheetView showGridLines="0" zoomScale="85" zoomScaleNormal="85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86.7109375" style="1" bestFit="1" customWidth="1"/>
    <col min="3" max="3" width="5.5703125" style="1" bestFit="1" customWidth="1"/>
    <col min="4" max="4" width="79.42578125" style="1" bestFit="1" customWidth="1"/>
  </cols>
  <sheetData>
    <row r="1" spans="1:4" ht="15.75" x14ac:dyDescent="0.25">
      <c r="A1" s="80" t="s">
        <v>1867</v>
      </c>
      <c r="B1" s="65"/>
      <c r="C1" s="65"/>
      <c r="D1" s="65"/>
    </row>
    <row r="2" spans="1:4" x14ac:dyDescent="0.25">
      <c r="A2" s="64" t="s">
        <v>891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892</v>
      </c>
      <c r="B5" s="30" t="s">
        <v>1868</v>
      </c>
      <c r="C5" s="11" t="s">
        <v>206</v>
      </c>
      <c r="D5" s="12" t="s">
        <v>1873</v>
      </c>
    </row>
    <row r="6" spans="1:4" x14ac:dyDescent="0.25">
      <c r="A6" s="29" t="s">
        <v>893</v>
      </c>
      <c r="B6" s="30" t="s">
        <v>1869</v>
      </c>
      <c r="C6" s="13" t="s">
        <v>228</v>
      </c>
      <c r="D6" s="14" t="s">
        <v>1874</v>
      </c>
    </row>
    <row r="7" spans="1:4" x14ac:dyDescent="0.25">
      <c r="A7" s="29" t="s">
        <v>894</v>
      </c>
      <c r="B7" s="30" t="s">
        <v>1870</v>
      </c>
      <c r="C7" s="11" t="s">
        <v>267</v>
      </c>
      <c r="D7" s="12" t="s">
        <v>1875</v>
      </c>
    </row>
    <row r="8" spans="1:4" x14ac:dyDescent="0.25">
      <c r="A8" s="29" t="s">
        <v>895</v>
      </c>
      <c r="B8" s="30" t="s">
        <v>1871</v>
      </c>
      <c r="C8" s="13" t="s">
        <v>896</v>
      </c>
      <c r="D8" s="14" t="s">
        <v>1876</v>
      </c>
    </row>
    <row r="9" spans="1:4" x14ac:dyDescent="0.25">
      <c r="A9" s="29" t="s">
        <v>897</v>
      </c>
      <c r="B9" s="30" t="s">
        <v>1820</v>
      </c>
      <c r="C9" s="11" t="s">
        <v>206</v>
      </c>
      <c r="D9" s="12" t="s">
        <v>1877</v>
      </c>
    </row>
    <row r="10" spans="1:4" x14ac:dyDescent="0.25">
      <c r="A10" s="29" t="s">
        <v>898</v>
      </c>
      <c r="B10" s="30">
        <v>60</v>
      </c>
      <c r="C10" s="13" t="s">
        <v>298</v>
      </c>
      <c r="D10" s="14" t="s">
        <v>1878</v>
      </c>
    </row>
    <row r="11" spans="1:4" x14ac:dyDescent="0.25">
      <c r="A11" s="29" t="s">
        <v>899</v>
      </c>
      <c r="B11" s="30">
        <v>10</v>
      </c>
      <c r="C11" s="11" t="s">
        <v>219</v>
      </c>
      <c r="D11" s="12" t="s">
        <v>1879</v>
      </c>
    </row>
    <row r="12" spans="1:4" x14ac:dyDescent="0.25">
      <c r="A12" s="29" t="s">
        <v>900</v>
      </c>
      <c r="B12" s="30" t="s">
        <v>1872</v>
      </c>
      <c r="C12" s="13" t="s">
        <v>206</v>
      </c>
      <c r="D12" s="14" t="s">
        <v>1880</v>
      </c>
    </row>
    <row r="13" spans="1:4" x14ac:dyDescent="0.25">
      <c r="A13" s="29" t="s">
        <v>234</v>
      </c>
      <c r="B13" s="30"/>
      <c r="C13" s="11"/>
      <c r="D13" s="12"/>
    </row>
    <row r="14" spans="1:4" x14ac:dyDescent="0.25">
      <c r="A14" s="29" t="s">
        <v>235</v>
      </c>
      <c r="B14" s="30"/>
      <c r="C14" s="13"/>
      <c r="D14" s="14"/>
    </row>
    <row r="16" spans="1:4" ht="15.75" customHeight="1" x14ac:dyDescent="0.25">
      <c r="A16" s="31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4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17"/>
  <sheetViews>
    <sheetView showGridLines="0" zoomScale="115" zoomScaleNormal="115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119.42578125" style="1" bestFit="1" customWidth="1"/>
    <col min="3" max="3" width="4.140625" style="1" bestFit="1" customWidth="1"/>
    <col min="4" max="4" width="78.5703125" style="1" bestFit="1" customWidth="1"/>
  </cols>
  <sheetData>
    <row r="1" spans="1:4" ht="15.75" x14ac:dyDescent="0.25">
      <c r="A1" s="80" t="s">
        <v>1881</v>
      </c>
      <c r="B1" s="65"/>
      <c r="C1" s="65"/>
      <c r="D1" s="65"/>
    </row>
    <row r="2" spans="1:4" x14ac:dyDescent="0.25">
      <c r="A2" s="64" t="s">
        <v>901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902</v>
      </c>
      <c r="B5" s="30" t="s">
        <v>1882</v>
      </c>
      <c r="C5" s="11" t="s">
        <v>206</v>
      </c>
      <c r="D5" s="12" t="s">
        <v>1887</v>
      </c>
    </row>
    <row r="6" spans="1:4" x14ac:dyDescent="0.25">
      <c r="A6" s="29" t="s">
        <v>903</v>
      </c>
      <c r="B6" s="30">
        <v>5</v>
      </c>
      <c r="C6" s="13" t="s">
        <v>904</v>
      </c>
      <c r="D6" s="14" t="s">
        <v>1888</v>
      </c>
    </row>
    <row r="7" spans="1:4" x14ac:dyDescent="0.25">
      <c r="A7" s="29" t="s">
        <v>905</v>
      </c>
      <c r="B7" s="30">
        <v>30</v>
      </c>
      <c r="C7" s="11" t="s">
        <v>906</v>
      </c>
      <c r="D7" s="12" t="s">
        <v>1889</v>
      </c>
    </row>
    <row r="8" spans="1:4" x14ac:dyDescent="0.25">
      <c r="A8" s="29" t="s">
        <v>907</v>
      </c>
      <c r="B8" s="30">
        <v>90</v>
      </c>
      <c r="C8" s="13" t="s">
        <v>272</v>
      </c>
      <c r="D8" s="14" t="s">
        <v>1890</v>
      </c>
    </row>
    <row r="9" spans="1:4" x14ac:dyDescent="0.25">
      <c r="A9" s="29" t="s">
        <v>908</v>
      </c>
      <c r="B9" s="30" t="s">
        <v>1883</v>
      </c>
      <c r="C9" s="11" t="s">
        <v>206</v>
      </c>
      <c r="D9" s="12" t="s">
        <v>1891</v>
      </c>
    </row>
    <row r="10" spans="1:4" x14ac:dyDescent="0.25">
      <c r="A10" s="29" t="s">
        <v>909</v>
      </c>
      <c r="B10" s="30">
        <v>90</v>
      </c>
      <c r="C10" s="13" t="s">
        <v>444</v>
      </c>
      <c r="D10" s="14" t="s">
        <v>1892</v>
      </c>
    </row>
    <row r="11" spans="1:4" x14ac:dyDescent="0.25">
      <c r="A11" s="29" t="s">
        <v>910</v>
      </c>
      <c r="B11" s="30" t="s">
        <v>1884</v>
      </c>
      <c r="C11" s="11" t="s">
        <v>206</v>
      </c>
      <c r="D11" s="12" t="s">
        <v>1893</v>
      </c>
    </row>
    <row r="12" spans="1:4" x14ac:dyDescent="0.25">
      <c r="A12" s="29" t="s">
        <v>911</v>
      </c>
      <c r="B12" s="30" t="s">
        <v>1885</v>
      </c>
      <c r="C12" s="13" t="s">
        <v>206</v>
      </c>
      <c r="D12" s="14" t="s">
        <v>1894</v>
      </c>
    </row>
    <row r="13" spans="1:4" x14ac:dyDescent="0.25">
      <c r="A13" s="29" t="s">
        <v>320</v>
      </c>
      <c r="B13" s="30" t="s">
        <v>1886</v>
      </c>
      <c r="C13" s="11" t="s">
        <v>206</v>
      </c>
      <c r="D13" s="12" t="s">
        <v>1895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4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2"/>
  <sheetViews>
    <sheetView showGridLines="0" topLeftCell="A2" zoomScaleNormal="100" workbookViewId="0">
      <selection activeCell="B56" sqref="B56"/>
    </sheetView>
  </sheetViews>
  <sheetFormatPr defaultColWidth="8.7109375" defaultRowHeight="15" x14ac:dyDescent="0.25"/>
  <cols>
    <col min="1" max="1" width="36" style="1" customWidth="1"/>
    <col min="2" max="2" width="72.5703125" style="1" bestFit="1" customWidth="1"/>
    <col min="3" max="3" width="5.140625" style="1" bestFit="1" customWidth="1"/>
    <col min="4" max="4" width="103" style="1" bestFit="1" customWidth="1"/>
  </cols>
  <sheetData>
    <row r="1" spans="1:6" ht="15.75" x14ac:dyDescent="0.25">
      <c r="A1" s="80" t="s">
        <v>1896</v>
      </c>
      <c r="B1" s="65"/>
      <c r="C1" s="65"/>
      <c r="D1" s="65"/>
      <c r="E1" s="41"/>
      <c r="F1" s="41"/>
    </row>
    <row r="2" spans="1:6" x14ac:dyDescent="0.25">
      <c r="A2" s="64" t="s">
        <v>912</v>
      </c>
      <c r="B2" s="65"/>
      <c r="C2" s="65"/>
      <c r="D2" s="65"/>
      <c r="E2" s="41"/>
      <c r="F2" s="41"/>
    </row>
    <row r="3" spans="1:6" x14ac:dyDescent="0.25">
      <c r="A3" s="41"/>
      <c r="B3" s="41"/>
      <c r="C3" s="41"/>
      <c r="D3" s="41"/>
      <c r="E3" s="41"/>
      <c r="F3" s="41"/>
    </row>
    <row r="4" spans="1:6" x14ac:dyDescent="0.25">
      <c r="A4" s="2" t="s">
        <v>198</v>
      </c>
      <c r="B4" s="2" t="s">
        <v>1078</v>
      </c>
      <c r="C4" s="2" t="s">
        <v>200</v>
      </c>
      <c r="D4" s="2" t="s">
        <v>201</v>
      </c>
      <c r="E4" s="41"/>
      <c r="F4" s="41"/>
    </row>
    <row r="5" spans="1:6" x14ac:dyDescent="0.25">
      <c r="A5" s="49" t="s">
        <v>293</v>
      </c>
      <c r="B5" s="30" t="s">
        <v>1897</v>
      </c>
      <c r="C5" s="11" t="s">
        <v>206</v>
      </c>
      <c r="D5" s="12" t="s">
        <v>1900</v>
      </c>
      <c r="E5" s="41"/>
      <c r="F5" s="41"/>
    </row>
    <row r="6" spans="1:6" x14ac:dyDescent="0.25">
      <c r="A6" s="49" t="s">
        <v>294</v>
      </c>
      <c r="B6" s="30" t="s">
        <v>1152</v>
      </c>
      <c r="C6" s="42" t="s">
        <v>317</v>
      </c>
      <c r="D6" s="14" t="s">
        <v>1901</v>
      </c>
      <c r="E6" s="41"/>
      <c r="F6" s="41"/>
    </row>
    <row r="7" spans="1:6" x14ac:dyDescent="0.25">
      <c r="A7" s="49" t="s">
        <v>295</v>
      </c>
      <c r="B7" s="30" t="s">
        <v>1142</v>
      </c>
      <c r="C7" s="11" t="s">
        <v>296</v>
      </c>
      <c r="D7" s="12" t="s">
        <v>1902</v>
      </c>
      <c r="E7" s="41"/>
      <c r="F7" s="41"/>
    </row>
    <row r="8" spans="1:6" x14ac:dyDescent="0.25">
      <c r="A8" s="49" t="s">
        <v>297</v>
      </c>
      <c r="B8" s="30">
        <v>2</v>
      </c>
      <c r="C8" s="42" t="s">
        <v>298</v>
      </c>
      <c r="D8" s="14" t="s">
        <v>1903</v>
      </c>
      <c r="E8" s="41"/>
      <c r="F8" s="41"/>
    </row>
    <row r="9" spans="1:6" x14ac:dyDescent="0.25">
      <c r="A9" s="49" t="s">
        <v>299</v>
      </c>
      <c r="B9" s="30" t="s">
        <v>1081</v>
      </c>
      <c r="C9" s="11" t="s">
        <v>206</v>
      </c>
      <c r="D9" s="12" t="s">
        <v>1904</v>
      </c>
      <c r="E9" s="41"/>
      <c r="F9" s="41"/>
    </row>
    <row r="10" spans="1:6" x14ac:dyDescent="0.25">
      <c r="A10" s="49" t="s">
        <v>913</v>
      </c>
      <c r="B10" s="30" t="s">
        <v>1898</v>
      </c>
      <c r="C10" s="42" t="s">
        <v>206</v>
      </c>
      <c r="D10" s="14" t="s">
        <v>1905</v>
      </c>
      <c r="E10" s="41"/>
      <c r="F10" s="41"/>
    </row>
    <row r="11" spans="1:6" x14ac:dyDescent="0.25">
      <c r="A11" s="49" t="s">
        <v>289</v>
      </c>
      <c r="B11" s="30" t="s">
        <v>1870</v>
      </c>
      <c r="C11" s="11" t="s">
        <v>228</v>
      </c>
      <c r="D11" s="12" t="s">
        <v>1906</v>
      </c>
      <c r="E11" s="41"/>
      <c r="F11" s="41"/>
    </row>
    <row r="12" spans="1:6" x14ac:dyDescent="0.25">
      <c r="A12" s="49" t="s">
        <v>914</v>
      </c>
      <c r="B12" s="30" t="s">
        <v>1899</v>
      </c>
      <c r="C12" s="42" t="s">
        <v>317</v>
      </c>
      <c r="D12" s="14" t="s">
        <v>1907</v>
      </c>
      <c r="E12" s="41"/>
      <c r="F12" s="41"/>
    </row>
    <row r="13" spans="1:6" x14ac:dyDescent="0.25">
      <c r="A13" s="49" t="s">
        <v>234</v>
      </c>
      <c r="B13" s="30"/>
      <c r="C13" s="11"/>
      <c r="D13" s="12"/>
      <c r="E13" s="41"/>
      <c r="F13" s="41"/>
    </row>
    <row r="14" spans="1:6" x14ac:dyDescent="0.25">
      <c r="A14" s="49" t="s">
        <v>235</v>
      </c>
      <c r="B14" s="30"/>
      <c r="C14" s="42"/>
      <c r="D14" s="14"/>
      <c r="E14" s="41"/>
      <c r="F14" s="41"/>
    </row>
    <row r="15" spans="1:6" x14ac:dyDescent="0.25">
      <c r="A15" s="41"/>
      <c r="B15" s="41"/>
      <c r="C15" s="41"/>
      <c r="D15" s="41"/>
      <c r="E15" s="41"/>
      <c r="F15" s="41"/>
    </row>
    <row r="16" spans="1:6" x14ac:dyDescent="0.25">
      <c r="A16" s="31" t="s">
        <v>236</v>
      </c>
      <c r="B16" s="41"/>
      <c r="C16" s="71" t="str">
        <f>COUNTA(B5:B14)&amp;" of 10 parameters filled"</f>
        <v>8 of 10 parameters filled</v>
      </c>
      <c r="D16" s="65"/>
      <c r="E16" s="41"/>
      <c r="F16" s="41"/>
    </row>
    <row r="17" spans="1:6" x14ac:dyDescent="0.25">
      <c r="A17" s="41"/>
      <c r="B17" s="41"/>
      <c r="C17" s="41"/>
      <c r="D17" s="41"/>
      <c r="E17" s="41"/>
      <c r="F17" s="41"/>
    </row>
    <row r="18" spans="1:6" x14ac:dyDescent="0.25">
      <c r="A18" s="41"/>
      <c r="B18" s="41"/>
      <c r="C18" s="41"/>
      <c r="D18" s="41"/>
      <c r="E18" s="41"/>
      <c r="F18" s="41"/>
    </row>
    <row r="19" spans="1:6" x14ac:dyDescent="0.25">
      <c r="A19" s="41"/>
      <c r="B19" s="41"/>
      <c r="C19" s="41"/>
      <c r="D19" s="41"/>
      <c r="E19" s="41"/>
      <c r="F19" s="41"/>
    </row>
    <row r="20" spans="1:6" x14ac:dyDescent="0.25">
      <c r="A20" s="41"/>
      <c r="B20" s="41"/>
      <c r="C20" s="41"/>
      <c r="D20" s="41"/>
      <c r="E20" s="41"/>
      <c r="F20" s="41"/>
    </row>
    <row r="21" spans="1:6" x14ac:dyDescent="0.25">
      <c r="A21" s="41"/>
      <c r="B21" s="41"/>
      <c r="C21" s="41"/>
      <c r="D21" s="41"/>
      <c r="E21" s="41"/>
      <c r="F21" s="41"/>
    </row>
    <row r="22" spans="1:6" x14ac:dyDescent="0.25">
      <c r="A22" s="41"/>
      <c r="B22" s="41"/>
      <c r="C22" s="41"/>
      <c r="D22" s="41"/>
      <c r="E22" s="41"/>
      <c r="F22" s="41"/>
    </row>
  </sheetData>
  <mergeCells count="3">
    <mergeCell ref="C16:D16"/>
    <mergeCell ref="A1:D1"/>
    <mergeCell ref="A2:D2"/>
  </mergeCells>
  <hyperlinks>
    <hyperlink ref="A16" location="INDEX!A1" display="&lt;&lt; Back to INDEX" xr:uid="{ED43621B-0804-45D1-AD72-860C393D12B8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20"/>
  <sheetViews>
    <sheetView showGridLines="0" zoomScaleNormal="100" workbookViewId="0">
      <selection activeCell="A20" sqref="A20"/>
    </sheetView>
  </sheetViews>
  <sheetFormatPr defaultColWidth="8.7109375" defaultRowHeight="15" x14ac:dyDescent="0.25"/>
  <cols>
    <col min="1" max="1" width="36" style="1" customWidth="1"/>
    <col min="2" max="2" width="91.42578125" style="1" bestFit="1" customWidth="1"/>
    <col min="3" max="3" width="7.5703125" style="1" bestFit="1" customWidth="1"/>
    <col min="4" max="4" width="94.85546875" style="1" bestFit="1" customWidth="1"/>
  </cols>
  <sheetData>
    <row r="1" spans="1:4" ht="15.75" x14ac:dyDescent="0.25">
      <c r="A1" s="80" t="s">
        <v>1908</v>
      </c>
      <c r="B1" s="65"/>
      <c r="C1" s="65"/>
      <c r="D1" s="65"/>
    </row>
    <row r="2" spans="1:4" x14ac:dyDescent="0.25">
      <c r="A2" s="64" t="s">
        <v>915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916</v>
      </c>
      <c r="B5" s="30" t="s">
        <v>1909</v>
      </c>
      <c r="C5" s="11" t="s">
        <v>206</v>
      </c>
      <c r="D5" s="12" t="s">
        <v>1914</v>
      </c>
    </row>
    <row r="6" spans="1:4" x14ac:dyDescent="0.25">
      <c r="A6" s="29" t="s">
        <v>917</v>
      </c>
      <c r="B6" s="30" t="s">
        <v>1910</v>
      </c>
      <c r="C6" s="13" t="s">
        <v>206</v>
      </c>
      <c r="D6" s="14" t="s">
        <v>1915</v>
      </c>
    </row>
    <row r="7" spans="1:4" x14ac:dyDescent="0.25">
      <c r="A7" s="29" t="s">
        <v>918</v>
      </c>
      <c r="B7" s="30">
        <v>128</v>
      </c>
      <c r="C7" s="11" t="s">
        <v>206</v>
      </c>
      <c r="D7" s="12" t="s">
        <v>1916</v>
      </c>
    </row>
    <row r="8" spans="1:4" x14ac:dyDescent="0.25">
      <c r="A8" s="29" t="s">
        <v>919</v>
      </c>
      <c r="B8" s="30">
        <v>96</v>
      </c>
      <c r="C8" s="13" t="s">
        <v>206</v>
      </c>
      <c r="D8" s="14" t="s">
        <v>1917</v>
      </c>
    </row>
    <row r="9" spans="1:4" x14ac:dyDescent="0.25">
      <c r="A9" s="29" t="s">
        <v>920</v>
      </c>
      <c r="B9" s="30">
        <v>64</v>
      </c>
      <c r="C9" s="11" t="s">
        <v>206</v>
      </c>
      <c r="D9" s="12" t="s">
        <v>1918</v>
      </c>
    </row>
    <row r="10" spans="1:4" x14ac:dyDescent="0.25">
      <c r="A10" s="29" t="s">
        <v>921</v>
      </c>
      <c r="B10" s="30">
        <v>32</v>
      </c>
      <c r="C10" s="13" t="s">
        <v>206</v>
      </c>
      <c r="D10" s="14" t="s">
        <v>1919</v>
      </c>
    </row>
    <row r="11" spans="1:4" x14ac:dyDescent="0.25">
      <c r="A11" s="29" t="s">
        <v>922</v>
      </c>
      <c r="B11" s="30">
        <v>50</v>
      </c>
      <c r="C11" s="11" t="s">
        <v>923</v>
      </c>
      <c r="D11" s="12" t="s">
        <v>1920</v>
      </c>
    </row>
    <row r="12" spans="1:4" x14ac:dyDescent="0.25">
      <c r="A12" s="29" t="s">
        <v>924</v>
      </c>
      <c r="B12" s="30" t="s">
        <v>1911</v>
      </c>
      <c r="C12" s="13" t="s">
        <v>206</v>
      </c>
      <c r="D12" s="14" t="s">
        <v>1921</v>
      </c>
    </row>
    <row r="13" spans="1:4" x14ac:dyDescent="0.25">
      <c r="A13" s="29" t="s">
        <v>925</v>
      </c>
      <c r="B13" s="30" t="s">
        <v>231</v>
      </c>
      <c r="C13" s="11" t="s">
        <v>232</v>
      </c>
      <c r="D13" s="12" t="s">
        <v>1922</v>
      </c>
    </row>
    <row r="14" spans="1:4" x14ac:dyDescent="0.25">
      <c r="A14" s="29" t="s">
        <v>926</v>
      </c>
      <c r="B14" s="30" t="s">
        <v>231</v>
      </c>
      <c r="C14" s="13" t="s">
        <v>232</v>
      </c>
      <c r="D14" s="14" t="s">
        <v>1923</v>
      </c>
    </row>
    <row r="15" spans="1:4" x14ac:dyDescent="0.25">
      <c r="A15" s="29" t="s">
        <v>927</v>
      </c>
      <c r="B15" s="30" t="s">
        <v>1912</v>
      </c>
      <c r="C15" s="11" t="s">
        <v>928</v>
      </c>
      <c r="D15" s="12" t="s">
        <v>1924</v>
      </c>
    </row>
    <row r="16" spans="1:4" x14ac:dyDescent="0.25">
      <c r="A16" s="29" t="s">
        <v>929</v>
      </c>
      <c r="B16" s="30" t="s">
        <v>1913</v>
      </c>
      <c r="C16" s="13" t="s">
        <v>206</v>
      </c>
      <c r="D16" s="14" t="s">
        <v>1925</v>
      </c>
    </row>
    <row r="17" spans="1:4" x14ac:dyDescent="0.25">
      <c r="A17" s="29" t="s">
        <v>234</v>
      </c>
      <c r="B17" s="30"/>
      <c r="C17" s="11"/>
      <c r="D17" s="12"/>
    </row>
    <row r="18" spans="1:4" x14ac:dyDescent="0.25">
      <c r="A18" s="29" t="s">
        <v>235</v>
      </c>
      <c r="B18" s="30"/>
      <c r="C18" s="13"/>
      <c r="D18" s="14"/>
    </row>
    <row r="20" spans="1:4" ht="15.75" customHeight="1" x14ac:dyDescent="0.25">
      <c r="A20" s="31" t="s">
        <v>236</v>
      </c>
      <c r="C20" s="71" t="str">
        <f>COUNTA(B5:B18)&amp;" of 14 parameters filled"</f>
        <v>12 of 14 parameters filled</v>
      </c>
      <c r="D20" s="65"/>
    </row>
  </sheetData>
  <mergeCells count="3">
    <mergeCell ref="A1:D1"/>
    <mergeCell ref="A2:D2"/>
    <mergeCell ref="C20:D20"/>
  </mergeCells>
  <hyperlinks>
    <hyperlink ref="A20" location="INDEX!A1" display="&lt;&lt; Back to INDEX" xr:uid="{00000000-0004-0000-5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16"/>
  <sheetViews>
    <sheetView showGridLines="0" zoomScaleNormal="100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51" style="1" bestFit="1" customWidth="1"/>
    <col min="3" max="3" width="6.7109375" style="1" bestFit="1" customWidth="1"/>
    <col min="4" max="4" width="85.85546875" style="1" bestFit="1" customWidth="1"/>
  </cols>
  <sheetData>
    <row r="1" spans="1:4" ht="15.75" x14ac:dyDescent="0.25">
      <c r="A1" s="80" t="s">
        <v>1926</v>
      </c>
      <c r="B1" s="65"/>
      <c r="C1" s="65"/>
      <c r="D1" s="65"/>
    </row>
    <row r="2" spans="1:4" x14ac:dyDescent="0.25">
      <c r="A2" s="64" t="s">
        <v>930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931</v>
      </c>
      <c r="B5" s="30" t="s">
        <v>1927</v>
      </c>
      <c r="C5" s="11" t="s">
        <v>206</v>
      </c>
      <c r="D5" s="12" t="s">
        <v>1933</v>
      </c>
    </row>
    <row r="6" spans="1:4" x14ac:dyDescent="0.25">
      <c r="A6" s="29" t="s">
        <v>932</v>
      </c>
      <c r="B6" s="30" t="s">
        <v>1928</v>
      </c>
      <c r="C6" s="13" t="s">
        <v>206</v>
      </c>
      <c r="D6" s="14" t="s">
        <v>1934</v>
      </c>
    </row>
    <row r="7" spans="1:4" x14ac:dyDescent="0.25">
      <c r="A7" s="29" t="s">
        <v>933</v>
      </c>
      <c r="B7" s="30">
        <v>1000</v>
      </c>
      <c r="C7" s="11" t="s">
        <v>206</v>
      </c>
      <c r="D7" s="12" t="s">
        <v>1935</v>
      </c>
    </row>
    <row r="8" spans="1:4" x14ac:dyDescent="0.25">
      <c r="A8" s="29" t="s">
        <v>934</v>
      </c>
      <c r="B8" s="30">
        <v>100</v>
      </c>
      <c r="C8" s="13" t="s">
        <v>923</v>
      </c>
      <c r="D8" s="14" t="s">
        <v>1936</v>
      </c>
    </row>
    <row r="9" spans="1:4" x14ac:dyDescent="0.25">
      <c r="A9" s="29" t="s">
        <v>935</v>
      </c>
      <c r="B9" s="30" t="s">
        <v>1929</v>
      </c>
      <c r="C9" s="11" t="s">
        <v>206</v>
      </c>
      <c r="D9" s="12" t="s">
        <v>1937</v>
      </c>
    </row>
    <row r="10" spans="1:4" x14ac:dyDescent="0.25">
      <c r="A10" s="29" t="s">
        <v>936</v>
      </c>
      <c r="B10" s="30" t="s">
        <v>1930</v>
      </c>
      <c r="C10" s="13" t="s">
        <v>206</v>
      </c>
      <c r="D10" s="14" t="s">
        <v>1938</v>
      </c>
    </row>
    <row r="11" spans="1:4" x14ac:dyDescent="0.25">
      <c r="A11" s="29" t="s">
        <v>937</v>
      </c>
      <c r="B11" s="30" t="s">
        <v>1931</v>
      </c>
      <c r="C11" s="11" t="s">
        <v>206</v>
      </c>
      <c r="D11" s="12" t="s">
        <v>1939</v>
      </c>
    </row>
    <row r="12" spans="1:4" x14ac:dyDescent="0.25">
      <c r="A12" s="29" t="s">
        <v>938</v>
      </c>
      <c r="B12" s="30" t="s">
        <v>1932</v>
      </c>
      <c r="C12" s="13" t="s">
        <v>232</v>
      </c>
      <c r="D12" s="14" t="s">
        <v>1940</v>
      </c>
    </row>
    <row r="13" spans="1:4" x14ac:dyDescent="0.25">
      <c r="A13" s="29" t="s">
        <v>234</v>
      </c>
      <c r="B13" s="30"/>
      <c r="C13" s="11"/>
      <c r="D13" s="12"/>
    </row>
    <row r="14" spans="1:4" x14ac:dyDescent="0.25">
      <c r="A14" s="29" t="s">
        <v>235</v>
      </c>
      <c r="B14" s="30"/>
      <c r="C14" s="13"/>
      <c r="D14" s="14"/>
    </row>
    <row r="16" spans="1:4" ht="15.75" customHeight="1" x14ac:dyDescent="0.25">
      <c r="A16" s="31" t="s">
        <v>236</v>
      </c>
      <c r="C16" s="71" t="str">
        <f>COUNTA(B5:B14)&amp;" of 10 parameters filled"</f>
        <v>8 of 10 parameters filled</v>
      </c>
      <c r="D16" s="65"/>
    </row>
  </sheetData>
  <mergeCells count="3">
    <mergeCell ref="A1:D1"/>
    <mergeCell ref="A2:D2"/>
    <mergeCell ref="C16:D16"/>
  </mergeCells>
  <hyperlinks>
    <hyperlink ref="A16" location="INDEX!A1" display="&lt;&lt; Back to INDEX" xr:uid="{00000000-0004-0000-5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49" style="1" bestFit="1" customWidth="1"/>
    <col min="3" max="3" width="6.7109375" style="1" bestFit="1" customWidth="1"/>
    <col min="4" max="4" width="76" style="1" bestFit="1" customWidth="1"/>
  </cols>
  <sheetData>
    <row r="1" spans="1:4" ht="15.75" x14ac:dyDescent="0.25">
      <c r="A1" s="80" t="s">
        <v>1941</v>
      </c>
      <c r="B1" s="65"/>
      <c r="C1" s="65"/>
      <c r="D1" s="65"/>
    </row>
    <row r="2" spans="1:4" x14ac:dyDescent="0.25">
      <c r="A2" s="64" t="s">
        <v>939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940</v>
      </c>
      <c r="B5" s="30" t="s">
        <v>1942</v>
      </c>
      <c r="C5" s="11" t="s">
        <v>206</v>
      </c>
      <c r="D5" s="12" t="s">
        <v>1947</v>
      </c>
    </row>
    <row r="6" spans="1:4" x14ac:dyDescent="0.25">
      <c r="A6" s="29" t="s">
        <v>941</v>
      </c>
      <c r="B6" s="30">
        <v>50</v>
      </c>
      <c r="C6" s="13" t="s">
        <v>206</v>
      </c>
      <c r="D6" s="14" t="s">
        <v>1948</v>
      </c>
    </row>
    <row r="7" spans="1:4" x14ac:dyDescent="0.25">
      <c r="A7" s="29" t="s">
        <v>942</v>
      </c>
      <c r="B7" s="30">
        <v>1000</v>
      </c>
      <c r="C7" s="11" t="s">
        <v>943</v>
      </c>
      <c r="D7" s="12" t="s">
        <v>1949</v>
      </c>
    </row>
    <row r="8" spans="1:4" x14ac:dyDescent="0.25">
      <c r="A8" s="29" t="s">
        <v>944</v>
      </c>
      <c r="B8" s="30" t="s">
        <v>1943</v>
      </c>
      <c r="C8" s="13" t="s">
        <v>206</v>
      </c>
      <c r="D8" s="14" t="s">
        <v>1950</v>
      </c>
    </row>
    <row r="9" spans="1:4" x14ac:dyDescent="0.25">
      <c r="A9" s="29" t="s">
        <v>945</v>
      </c>
      <c r="B9" s="30" t="s">
        <v>231</v>
      </c>
      <c r="C9" s="11" t="s">
        <v>232</v>
      </c>
      <c r="D9" s="12" t="s">
        <v>1951</v>
      </c>
    </row>
    <row r="10" spans="1:4" x14ac:dyDescent="0.25">
      <c r="A10" s="29" t="s">
        <v>946</v>
      </c>
      <c r="B10" s="30" t="s">
        <v>1944</v>
      </c>
      <c r="C10" s="13" t="s">
        <v>206</v>
      </c>
      <c r="D10" s="14" t="s">
        <v>1952</v>
      </c>
    </row>
    <row r="11" spans="1:4" x14ac:dyDescent="0.25">
      <c r="A11" s="29" t="s">
        <v>947</v>
      </c>
      <c r="B11" s="30" t="s">
        <v>231</v>
      </c>
      <c r="C11" s="11" t="s">
        <v>232</v>
      </c>
      <c r="D11" s="12" t="s">
        <v>1953</v>
      </c>
    </row>
    <row r="12" spans="1:4" x14ac:dyDescent="0.25">
      <c r="A12" s="29" t="s">
        <v>948</v>
      </c>
      <c r="B12" s="30" t="s">
        <v>1945</v>
      </c>
      <c r="C12" s="13" t="s">
        <v>206</v>
      </c>
      <c r="D12" s="14" t="s">
        <v>1954</v>
      </c>
    </row>
    <row r="13" spans="1:4" x14ac:dyDescent="0.25">
      <c r="A13" s="29" t="s">
        <v>949</v>
      </c>
      <c r="B13" s="30" t="s">
        <v>1946</v>
      </c>
      <c r="C13" s="11" t="s">
        <v>206</v>
      </c>
      <c r="D13" s="12" t="s">
        <v>1955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5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18"/>
  <sheetViews>
    <sheetView showGridLines="0" zoomScale="85" zoomScaleNormal="85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57.85546875" style="1" bestFit="1" customWidth="1"/>
    <col min="3" max="3" width="6.7109375" style="1" bestFit="1" customWidth="1"/>
    <col min="4" max="4" width="87.5703125" style="1" bestFit="1" customWidth="1"/>
  </cols>
  <sheetData>
    <row r="1" spans="1:4" ht="15.75" x14ac:dyDescent="0.25">
      <c r="A1" s="80" t="s">
        <v>1956</v>
      </c>
      <c r="B1" s="65"/>
      <c r="C1" s="65"/>
      <c r="D1" s="65"/>
    </row>
    <row r="2" spans="1:4" x14ac:dyDescent="0.25">
      <c r="A2" s="64" t="s">
        <v>950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951</v>
      </c>
      <c r="B5" s="30" t="s">
        <v>1957</v>
      </c>
      <c r="C5" s="11" t="s">
        <v>206</v>
      </c>
      <c r="D5" s="12" t="s">
        <v>1962</v>
      </c>
    </row>
    <row r="6" spans="1:4" x14ac:dyDescent="0.25">
      <c r="A6" s="29" t="s">
        <v>952</v>
      </c>
      <c r="B6" s="30" t="s">
        <v>1958</v>
      </c>
      <c r="C6" s="13" t="s">
        <v>206</v>
      </c>
      <c r="D6" s="14" t="s">
        <v>1963</v>
      </c>
    </row>
    <row r="7" spans="1:4" x14ac:dyDescent="0.25">
      <c r="A7" s="29" t="s">
        <v>953</v>
      </c>
      <c r="B7" s="30" t="s">
        <v>231</v>
      </c>
      <c r="C7" s="11" t="s">
        <v>232</v>
      </c>
      <c r="D7" s="12" t="s">
        <v>1964</v>
      </c>
    </row>
    <row r="8" spans="1:4" x14ac:dyDescent="0.25">
      <c r="A8" s="29" t="s">
        <v>954</v>
      </c>
      <c r="B8" s="30">
        <v>1000</v>
      </c>
      <c r="C8" s="13" t="s">
        <v>206</v>
      </c>
      <c r="D8" s="14" t="s">
        <v>1965</v>
      </c>
    </row>
    <row r="9" spans="1:4" x14ac:dyDescent="0.25">
      <c r="A9" s="29" t="s">
        <v>955</v>
      </c>
      <c r="B9" s="30" t="s">
        <v>1959</v>
      </c>
      <c r="C9" s="11" t="s">
        <v>206</v>
      </c>
      <c r="D9" s="12" t="s">
        <v>1966</v>
      </c>
    </row>
    <row r="10" spans="1:4" x14ac:dyDescent="0.25">
      <c r="A10" s="29" t="s">
        <v>850</v>
      </c>
      <c r="B10" s="30">
        <v>10</v>
      </c>
      <c r="C10" s="13" t="s">
        <v>298</v>
      </c>
      <c r="D10" s="14" t="s">
        <v>1967</v>
      </c>
    </row>
    <row r="11" spans="1:4" x14ac:dyDescent="0.25">
      <c r="A11" s="29" t="s">
        <v>956</v>
      </c>
      <c r="B11" s="30">
        <v>5</v>
      </c>
      <c r="C11" s="11" t="s">
        <v>620</v>
      </c>
      <c r="D11" s="12" t="s">
        <v>1968</v>
      </c>
    </row>
    <row r="12" spans="1:4" x14ac:dyDescent="0.25">
      <c r="A12" s="29" t="s">
        <v>957</v>
      </c>
      <c r="B12" s="30">
        <v>2</v>
      </c>
      <c r="C12" s="13" t="s">
        <v>206</v>
      </c>
      <c r="D12" s="14" t="s">
        <v>1969</v>
      </c>
    </row>
    <row r="13" spans="1:4" x14ac:dyDescent="0.25">
      <c r="A13" s="29" t="s">
        <v>958</v>
      </c>
      <c r="B13" s="30" t="s">
        <v>1960</v>
      </c>
      <c r="C13" s="11" t="s">
        <v>206</v>
      </c>
      <c r="D13" s="12" t="s">
        <v>1970</v>
      </c>
    </row>
    <row r="14" spans="1:4" x14ac:dyDescent="0.25">
      <c r="A14" s="29" t="s">
        <v>959</v>
      </c>
      <c r="B14" s="30" t="s">
        <v>1961</v>
      </c>
      <c r="C14" s="13" t="s">
        <v>206</v>
      </c>
      <c r="D14" s="14" t="s">
        <v>1971</v>
      </c>
    </row>
    <row r="15" spans="1:4" x14ac:dyDescent="0.25">
      <c r="A15" s="29" t="s">
        <v>234</v>
      </c>
      <c r="B15" s="30"/>
      <c r="C15" s="11"/>
      <c r="D15" s="12"/>
    </row>
    <row r="16" spans="1:4" x14ac:dyDescent="0.25">
      <c r="A16" s="29" t="s">
        <v>235</v>
      </c>
      <c r="B16" s="30"/>
      <c r="C16" s="13"/>
      <c r="D16" s="14"/>
    </row>
    <row r="18" spans="1:4" ht="15.75" customHeight="1" x14ac:dyDescent="0.25">
      <c r="A18" s="31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5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8"/>
  <sheetViews>
    <sheetView showGridLines="0" zoomScaleNormal="100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70.28515625" style="1" bestFit="1" customWidth="1"/>
    <col min="3" max="3" width="4.140625" style="1" bestFit="1" customWidth="1"/>
    <col min="4" max="4" width="65.7109375" style="1" bestFit="1" customWidth="1"/>
  </cols>
  <sheetData>
    <row r="1" spans="1:4" ht="15.75" x14ac:dyDescent="0.25">
      <c r="A1" s="80" t="s">
        <v>1972</v>
      </c>
      <c r="B1" s="65"/>
      <c r="C1" s="65"/>
      <c r="D1" s="65"/>
    </row>
    <row r="2" spans="1:4" x14ac:dyDescent="0.25">
      <c r="A2" s="64" t="s">
        <v>960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961</v>
      </c>
      <c r="B5" s="30" t="s">
        <v>1973</v>
      </c>
      <c r="C5" s="11" t="s">
        <v>206</v>
      </c>
      <c r="D5" s="12" t="s">
        <v>1980</v>
      </c>
    </row>
    <row r="6" spans="1:4" x14ac:dyDescent="0.25">
      <c r="A6" s="29" t="s">
        <v>962</v>
      </c>
      <c r="B6" s="30" t="s">
        <v>1974</v>
      </c>
      <c r="C6" s="13" t="s">
        <v>206</v>
      </c>
      <c r="D6" s="14" t="s">
        <v>1981</v>
      </c>
    </row>
    <row r="7" spans="1:4" x14ac:dyDescent="0.25">
      <c r="A7" s="29" t="s">
        <v>963</v>
      </c>
      <c r="B7" s="30" t="s">
        <v>1975</v>
      </c>
      <c r="C7" s="11" t="s">
        <v>206</v>
      </c>
      <c r="D7" s="12" t="s">
        <v>1982</v>
      </c>
    </row>
    <row r="8" spans="1:4" x14ac:dyDescent="0.25">
      <c r="A8" s="29" t="s">
        <v>964</v>
      </c>
      <c r="B8" s="30">
        <v>32</v>
      </c>
      <c r="C8" s="13" t="s">
        <v>965</v>
      </c>
      <c r="D8" s="14" t="s">
        <v>1983</v>
      </c>
    </row>
    <row r="9" spans="1:4" x14ac:dyDescent="0.25">
      <c r="A9" s="29" t="s">
        <v>966</v>
      </c>
      <c r="B9" s="30">
        <v>512</v>
      </c>
      <c r="C9" s="11" t="s">
        <v>965</v>
      </c>
      <c r="D9" s="12" t="s">
        <v>1984</v>
      </c>
    </row>
    <row r="10" spans="1:4" x14ac:dyDescent="0.25">
      <c r="A10" s="29" t="s">
        <v>967</v>
      </c>
      <c r="B10" s="30" t="s">
        <v>1976</v>
      </c>
      <c r="C10" s="13" t="s">
        <v>206</v>
      </c>
      <c r="D10" s="14" t="s">
        <v>1985</v>
      </c>
    </row>
    <row r="11" spans="1:4" x14ac:dyDescent="0.25">
      <c r="A11" s="29" t="s">
        <v>289</v>
      </c>
      <c r="B11" s="30" t="s">
        <v>1977</v>
      </c>
      <c r="C11" s="11" t="s">
        <v>228</v>
      </c>
      <c r="D11" s="12" t="s">
        <v>1986</v>
      </c>
    </row>
    <row r="12" spans="1:4" x14ac:dyDescent="0.25">
      <c r="A12" s="29" t="s">
        <v>968</v>
      </c>
      <c r="B12" s="30">
        <v>80000</v>
      </c>
      <c r="C12" s="13" t="s">
        <v>472</v>
      </c>
      <c r="D12" s="14" t="s">
        <v>1987</v>
      </c>
    </row>
    <row r="13" spans="1:4" x14ac:dyDescent="0.25">
      <c r="A13" s="29" t="s">
        <v>969</v>
      </c>
      <c r="B13" s="30" t="s">
        <v>1978</v>
      </c>
      <c r="C13" s="11" t="s">
        <v>206</v>
      </c>
      <c r="D13" s="12" t="s">
        <v>1988</v>
      </c>
    </row>
    <row r="14" spans="1:4" x14ac:dyDescent="0.25">
      <c r="A14" s="29" t="s">
        <v>970</v>
      </c>
      <c r="B14" s="30" t="s">
        <v>1979</v>
      </c>
      <c r="C14" s="13" t="s">
        <v>206</v>
      </c>
      <c r="D14" s="14" t="s">
        <v>1989</v>
      </c>
    </row>
    <row r="15" spans="1:4" x14ac:dyDescent="0.25">
      <c r="A15" s="29" t="s">
        <v>234</v>
      </c>
      <c r="B15" s="30"/>
      <c r="C15" s="11"/>
      <c r="D15" s="12"/>
    </row>
    <row r="16" spans="1:4" x14ac:dyDescent="0.25">
      <c r="A16" s="29" t="s">
        <v>235</v>
      </c>
      <c r="B16" s="30"/>
      <c r="C16" s="13"/>
      <c r="D16" s="14"/>
    </row>
    <row r="18" spans="1:4" ht="15.75" customHeight="1" x14ac:dyDescent="0.25">
      <c r="A18" s="31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5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17"/>
  <sheetViews>
    <sheetView showGridLines="0" zoomScale="85" zoomScaleNormal="85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88.42578125" style="1" bestFit="1" customWidth="1"/>
    <col min="3" max="3" width="6.7109375" style="1" bestFit="1" customWidth="1"/>
    <col min="4" max="4" width="70" style="1" bestFit="1" customWidth="1"/>
  </cols>
  <sheetData>
    <row r="1" spans="1:4" ht="15.75" x14ac:dyDescent="0.25">
      <c r="A1" s="80" t="s">
        <v>1990</v>
      </c>
      <c r="B1" s="65"/>
      <c r="C1" s="65"/>
      <c r="D1" s="65"/>
    </row>
    <row r="2" spans="1:4" x14ac:dyDescent="0.25">
      <c r="A2" s="64" t="s">
        <v>971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972</v>
      </c>
      <c r="B5" s="30" t="s">
        <v>1991</v>
      </c>
      <c r="C5" s="11" t="s">
        <v>206</v>
      </c>
      <c r="D5" s="12" t="s">
        <v>1995</v>
      </c>
    </row>
    <row r="6" spans="1:4" x14ac:dyDescent="0.25">
      <c r="A6" s="29" t="s">
        <v>973</v>
      </c>
      <c r="B6" s="30">
        <v>1</v>
      </c>
      <c r="C6" s="13" t="s">
        <v>974</v>
      </c>
      <c r="D6" s="14" t="s">
        <v>1996</v>
      </c>
    </row>
    <row r="7" spans="1:4" x14ac:dyDescent="0.25">
      <c r="A7" s="29" t="s">
        <v>975</v>
      </c>
      <c r="B7" s="30" t="s">
        <v>1992</v>
      </c>
      <c r="C7" s="11" t="s">
        <v>206</v>
      </c>
      <c r="D7" s="12" t="s">
        <v>1997</v>
      </c>
    </row>
    <row r="8" spans="1:4" x14ac:dyDescent="0.25">
      <c r="A8" s="29" t="s">
        <v>976</v>
      </c>
      <c r="B8" s="30" t="s">
        <v>231</v>
      </c>
      <c r="C8" s="13" t="s">
        <v>232</v>
      </c>
      <c r="D8" s="14" t="s">
        <v>1998</v>
      </c>
    </row>
    <row r="9" spans="1:4" x14ac:dyDescent="0.25">
      <c r="A9" s="29" t="s">
        <v>977</v>
      </c>
      <c r="B9" s="30" t="s">
        <v>1993</v>
      </c>
      <c r="C9" s="11" t="s">
        <v>206</v>
      </c>
      <c r="D9" s="12" t="s">
        <v>1999</v>
      </c>
    </row>
    <row r="10" spans="1:4" x14ac:dyDescent="0.25">
      <c r="A10" s="29" t="s">
        <v>978</v>
      </c>
      <c r="B10" s="30" t="s">
        <v>231</v>
      </c>
      <c r="C10" s="13" t="s">
        <v>232</v>
      </c>
      <c r="D10" s="14" t="s">
        <v>2000</v>
      </c>
    </row>
    <row r="11" spans="1:4" x14ac:dyDescent="0.25">
      <c r="A11" s="29" t="s">
        <v>979</v>
      </c>
      <c r="B11" s="30" t="s">
        <v>231</v>
      </c>
      <c r="C11" s="11" t="s">
        <v>232</v>
      </c>
      <c r="D11" s="12" t="s">
        <v>2001</v>
      </c>
    </row>
    <row r="12" spans="1:4" x14ac:dyDescent="0.25">
      <c r="A12" s="29" t="s">
        <v>980</v>
      </c>
      <c r="B12" s="30" t="s">
        <v>231</v>
      </c>
      <c r="C12" s="13" t="s">
        <v>232</v>
      </c>
      <c r="D12" s="14" t="s">
        <v>2002</v>
      </c>
    </row>
    <row r="13" spans="1:4" x14ac:dyDescent="0.25">
      <c r="A13" s="29" t="s">
        <v>981</v>
      </c>
      <c r="B13" s="30" t="s">
        <v>1994</v>
      </c>
      <c r="C13" s="11" t="s">
        <v>206</v>
      </c>
      <c r="D13" s="12" t="s">
        <v>2003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5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60.5703125" style="1" bestFit="1" customWidth="1"/>
    <col min="3" max="3" width="10.140625" style="1" bestFit="1" customWidth="1"/>
    <col min="4" max="4" width="71.7109375" style="1" bestFit="1" customWidth="1"/>
  </cols>
  <sheetData>
    <row r="1" spans="1:4" ht="15.75" x14ac:dyDescent="0.25">
      <c r="A1" s="80" t="s">
        <v>2004</v>
      </c>
      <c r="B1" s="65"/>
      <c r="C1" s="65"/>
      <c r="D1" s="65"/>
    </row>
    <row r="2" spans="1:4" x14ac:dyDescent="0.25">
      <c r="A2" s="64" t="s">
        <v>982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983</v>
      </c>
      <c r="B5" s="30" t="s">
        <v>2005</v>
      </c>
      <c r="C5" s="11" t="s">
        <v>206</v>
      </c>
      <c r="D5" s="12" t="s">
        <v>2010</v>
      </c>
    </row>
    <row r="6" spans="1:4" x14ac:dyDescent="0.25">
      <c r="A6" s="29" t="s">
        <v>984</v>
      </c>
      <c r="B6" s="30">
        <v>50</v>
      </c>
      <c r="C6" s="13" t="s">
        <v>206</v>
      </c>
      <c r="D6" s="14" t="s">
        <v>2011</v>
      </c>
    </row>
    <row r="7" spans="1:4" x14ac:dyDescent="0.25">
      <c r="A7" s="29" t="s">
        <v>985</v>
      </c>
      <c r="B7" s="30" t="s">
        <v>2006</v>
      </c>
      <c r="C7" s="11" t="s">
        <v>986</v>
      </c>
      <c r="D7" s="12" t="s">
        <v>2012</v>
      </c>
    </row>
    <row r="8" spans="1:4" x14ac:dyDescent="0.25">
      <c r="A8" s="29" t="s">
        <v>987</v>
      </c>
      <c r="B8" s="30">
        <v>90</v>
      </c>
      <c r="C8" s="13" t="s">
        <v>988</v>
      </c>
      <c r="D8" s="14" t="s">
        <v>2013</v>
      </c>
    </row>
    <row r="9" spans="1:4" x14ac:dyDescent="0.25">
      <c r="A9" s="29" t="s">
        <v>989</v>
      </c>
      <c r="B9" s="30">
        <v>5</v>
      </c>
      <c r="C9" s="11" t="s">
        <v>620</v>
      </c>
      <c r="D9" s="12" t="s">
        <v>2014</v>
      </c>
    </row>
    <row r="10" spans="1:4" x14ac:dyDescent="0.25">
      <c r="A10" s="29" t="s">
        <v>990</v>
      </c>
      <c r="B10" s="30" t="s">
        <v>2007</v>
      </c>
      <c r="C10" s="13" t="s">
        <v>206</v>
      </c>
      <c r="D10" s="14" t="s">
        <v>2015</v>
      </c>
    </row>
    <row r="11" spans="1:4" x14ac:dyDescent="0.25">
      <c r="A11" s="29" t="s">
        <v>991</v>
      </c>
      <c r="B11" s="30" t="s">
        <v>2008</v>
      </c>
      <c r="C11" s="11" t="s">
        <v>206</v>
      </c>
      <c r="D11" s="12" t="s">
        <v>2016</v>
      </c>
    </row>
    <row r="12" spans="1:4" x14ac:dyDescent="0.25">
      <c r="A12" s="29" t="s">
        <v>992</v>
      </c>
      <c r="B12" s="30" t="s">
        <v>231</v>
      </c>
      <c r="C12" s="13" t="s">
        <v>232</v>
      </c>
      <c r="D12" s="14" t="s">
        <v>2017</v>
      </c>
    </row>
    <row r="13" spans="1:4" x14ac:dyDescent="0.25">
      <c r="A13" s="29" t="s">
        <v>993</v>
      </c>
      <c r="B13" s="30" t="s">
        <v>2009</v>
      </c>
      <c r="C13" s="11" t="s">
        <v>994</v>
      </c>
      <c r="D13" s="12" t="s">
        <v>2018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5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58.7109375" style="1" bestFit="1" customWidth="1"/>
    <col min="3" max="3" width="7.28515625" style="1" bestFit="1" customWidth="1"/>
    <col min="4" max="4" width="75.85546875" style="1" bestFit="1" customWidth="1"/>
  </cols>
  <sheetData>
    <row r="1" spans="1:4" ht="15.75" x14ac:dyDescent="0.25">
      <c r="A1" s="80" t="s">
        <v>2019</v>
      </c>
      <c r="B1" s="65"/>
      <c r="C1" s="65"/>
      <c r="D1" s="65"/>
    </row>
    <row r="2" spans="1:4" x14ac:dyDescent="0.25">
      <c r="A2" s="64" t="s">
        <v>995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996</v>
      </c>
      <c r="B5" s="30" t="s">
        <v>2020</v>
      </c>
      <c r="C5" s="11" t="s">
        <v>206</v>
      </c>
      <c r="D5" s="12" t="s">
        <v>2026</v>
      </c>
    </row>
    <row r="6" spans="1:4" x14ac:dyDescent="0.25">
      <c r="A6" s="29" t="s">
        <v>997</v>
      </c>
      <c r="B6" s="30" t="s">
        <v>2021</v>
      </c>
      <c r="C6" s="13" t="s">
        <v>206</v>
      </c>
      <c r="D6" s="14" t="s">
        <v>2027</v>
      </c>
    </row>
    <row r="7" spans="1:4" x14ac:dyDescent="0.25">
      <c r="A7" s="29" t="s">
        <v>998</v>
      </c>
      <c r="B7" s="30">
        <v>50</v>
      </c>
      <c r="C7" s="11" t="s">
        <v>999</v>
      </c>
      <c r="D7" s="12" t="s">
        <v>2028</v>
      </c>
    </row>
    <row r="8" spans="1:4" x14ac:dyDescent="0.25">
      <c r="A8" s="29" t="s">
        <v>1000</v>
      </c>
      <c r="B8" s="30">
        <v>200</v>
      </c>
      <c r="C8" s="13" t="s">
        <v>923</v>
      </c>
      <c r="D8" s="14" t="s">
        <v>2029</v>
      </c>
    </row>
    <row r="9" spans="1:4" x14ac:dyDescent="0.25">
      <c r="A9" s="29" t="s">
        <v>1001</v>
      </c>
      <c r="B9" s="30" t="s">
        <v>2022</v>
      </c>
      <c r="C9" s="11" t="s">
        <v>206</v>
      </c>
      <c r="D9" s="12" t="s">
        <v>2030</v>
      </c>
    </row>
    <row r="10" spans="1:4" x14ac:dyDescent="0.25">
      <c r="A10" s="29" t="s">
        <v>1002</v>
      </c>
      <c r="B10" s="30" t="s">
        <v>2023</v>
      </c>
      <c r="C10" s="13" t="s">
        <v>206</v>
      </c>
      <c r="D10" s="14" t="s">
        <v>2031</v>
      </c>
    </row>
    <row r="11" spans="1:4" x14ac:dyDescent="0.25">
      <c r="A11" s="29" t="s">
        <v>1003</v>
      </c>
      <c r="B11" s="30" t="s">
        <v>231</v>
      </c>
      <c r="C11" s="11" t="s">
        <v>232</v>
      </c>
      <c r="D11" s="12" t="s">
        <v>2032</v>
      </c>
    </row>
    <row r="12" spans="1:4" x14ac:dyDescent="0.25">
      <c r="A12" s="29" t="s">
        <v>1004</v>
      </c>
      <c r="B12" s="30" t="s">
        <v>2024</v>
      </c>
      <c r="C12" s="13" t="s">
        <v>206</v>
      </c>
      <c r="D12" s="14" t="s">
        <v>2033</v>
      </c>
    </row>
    <row r="13" spans="1:4" x14ac:dyDescent="0.25">
      <c r="A13" s="29" t="s">
        <v>1005</v>
      </c>
      <c r="B13" s="30" t="s">
        <v>2025</v>
      </c>
      <c r="C13" s="11" t="s">
        <v>206</v>
      </c>
      <c r="D13" s="12" t="s">
        <v>2034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5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8"/>
  <sheetViews>
    <sheetView showGridLines="0" zoomScale="115" zoomScaleNormal="115" workbookViewId="0">
      <selection activeCell="A18" sqref="A18"/>
    </sheetView>
  </sheetViews>
  <sheetFormatPr defaultColWidth="8.7109375" defaultRowHeight="15" x14ac:dyDescent="0.25"/>
  <cols>
    <col min="1" max="1" width="36" style="1" customWidth="1"/>
    <col min="2" max="2" width="127.7109375" style="1" bestFit="1" customWidth="1"/>
    <col min="3" max="3" width="4.140625" style="1" bestFit="1" customWidth="1"/>
    <col min="4" max="4" width="80" style="1" bestFit="1" customWidth="1"/>
  </cols>
  <sheetData>
    <row r="1" spans="1:4" ht="15.75" x14ac:dyDescent="0.25">
      <c r="A1" s="80" t="s">
        <v>2035</v>
      </c>
      <c r="B1" s="65"/>
      <c r="C1" s="65"/>
      <c r="D1" s="65"/>
    </row>
    <row r="2" spans="1:4" x14ac:dyDescent="0.25">
      <c r="A2" s="64" t="s">
        <v>1006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1007</v>
      </c>
      <c r="B5" s="30" t="s">
        <v>2036</v>
      </c>
      <c r="C5" s="11" t="s">
        <v>206</v>
      </c>
      <c r="D5" s="12" t="s">
        <v>2042</v>
      </c>
    </row>
    <row r="6" spans="1:4" x14ac:dyDescent="0.25">
      <c r="A6" s="29" t="s">
        <v>1008</v>
      </c>
      <c r="B6" s="30" t="s">
        <v>2037</v>
      </c>
      <c r="C6" s="13" t="s">
        <v>206</v>
      </c>
      <c r="D6" s="14" t="s">
        <v>2043</v>
      </c>
    </row>
    <row r="7" spans="1:4" x14ac:dyDescent="0.25">
      <c r="A7" s="29" t="s">
        <v>1009</v>
      </c>
      <c r="B7" s="30">
        <v>500</v>
      </c>
      <c r="C7" s="11" t="s">
        <v>923</v>
      </c>
      <c r="D7" s="12" t="s">
        <v>2044</v>
      </c>
    </row>
    <row r="8" spans="1:4" x14ac:dyDescent="0.25">
      <c r="A8" s="29" t="s">
        <v>1010</v>
      </c>
      <c r="B8" s="30">
        <v>0.1</v>
      </c>
      <c r="C8" s="13" t="s">
        <v>793</v>
      </c>
      <c r="D8" s="14" t="s">
        <v>2045</v>
      </c>
    </row>
    <row r="9" spans="1:4" x14ac:dyDescent="0.25">
      <c r="A9" s="29" t="s">
        <v>1011</v>
      </c>
      <c r="B9" s="30">
        <v>15</v>
      </c>
      <c r="C9" s="11" t="s">
        <v>206</v>
      </c>
      <c r="D9" s="12" t="s">
        <v>2046</v>
      </c>
    </row>
    <row r="10" spans="1:4" x14ac:dyDescent="0.25">
      <c r="A10" s="29" t="s">
        <v>1012</v>
      </c>
      <c r="B10" s="30">
        <v>12</v>
      </c>
      <c r="C10" s="13" t="s">
        <v>206</v>
      </c>
      <c r="D10" s="14" t="s">
        <v>2047</v>
      </c>
    </row>
    <row r="11" spans="1:4" x14ac:dyDescent="0.25">
      <c r="A11" s="29" t="s">
        <v>1013</v>
      </c>
      <c r="B11" s="30" t="s">
        <v>2038</v>
      </c>
      <c r="C11" s="11" t="s">
        <v>206</v>
      </c>
      <c r="D11" s="12" t="s">
        <v>2048</v>
      </c>
    </row>
    <row r="12" spans="1:4" x14ac:dyDescent="0.25">
      <c r="A12" s="29" t="s">
        <v>1014</v>
      </c>
      <c r="B12" s="30" t="s">
        <v>2039</v>
      </c>
      <c r="C12" s="13" t="s">
        <v>206</v>
      </c>
      <c r="D12" s="14" t="s">
        <v>2049</v>
      </c>
    </row>
    <row r="13" spans="1:4" x14ac:dyDescent="0.25">
      <c r="A13" s="29" t="s">
        <v>1015</v>
      </c>
      <c r="B13" s="30" t="s">
        <v>2040</v>
      </c>
      <c r="C13" s="11" t="s">
        <v>206</v>
      </c>
      <c r="D13" s="12" t="s">
        <v>2050</v>
      </c>
    </row>
    <row r="14" spans="1:4" x14ac:dyDescent="0.25">
      <c r="A14" s="29" t="s">
        <v>1016</v>
      </c>
      <c r="B14" s="30" t="s">
        <v>2041</v>
      </c>
      <c r="C14" s="13" t="s">
        <v>206</v>
      </c>
      <c r="D14" s="14" t="s">
        <v>2051</v>
      </c>
    </row>
    <row r="15" spans="1:4" x14ac:dyDescent="0.25">
      <c r="A15" s="29" t="s">
        <v>234</v>
      </c>
      <c r="B15" s="30"/>
      <c r="C15" s="11"/>
      <c r="D15" s="12"/>
    </row>
    <row r="16" spans="1:4" x14ac:dyDescent="0.25">
      <c r="A16" s="29" t="s">
        <v>235</v>
      </c>
      <c r="B16" s="30"/>
      <c r="C16" s="13"/>
      <c r="D16" s="14"/>
    </row>
    <row r="18" spans="1:4" ht="15.75" customHeight="1" x14ac:dyDescent="0.25">
      <c r="A18" s="31" t="s">
        <v>236</v>
      </c>
      <c r="C18" s="71" t="str">
        <f>COUNTA(B5:B16)&amp;" of 12 parameters filled"</f>
        <v>10 of 12 parameters filled</v>
      </c>
      <c r="D18" s="65"/>
    </row>
  </sheetData>
  <mergeCells count="3">
    <mergeCell ref="A1:D1"/>
    <mergeCell ref="A2:D2"/>
    <mergeCell ref="C18:D18"/>
  </mergeCells>
  <hyperlinks>
    <hyperlink ref="A18" location="INDEX!A1" display="&lt;&lt; Back to INDEX" xr:uid="{00000000-0004-0000-5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17"/>
  <sheetViews>
    <sheetView showGridLines="0" zoomScaleNormal="100" workbookViewId="0">
      <selection activeCell="A17" sqref="A17"/>
    </sheetView>
  </sheetViews>
  <sheetFormatPr defaultColWidth="8.7109375" defaultRowHeight="15" x14ac:dyDescent="0.25"/>
  <cols>
    <col min="1" max="1" width="36" style="1" customWidth="1"/>
    <col min="2" max="2" width="72.85546875" style="1" bestFit="1" customWidth="1"/>
    <col min="3" max="3" width="6.7109375" style="1" bestFit="1" customWidth="1"/>
    <col min="4" max="4" width="78.140625" style="1" bestFit="1" customWidth="1"/>
  </cols>
  <sheetData>
    <row r="1" spans="1:4" ht="15.75" x14ac:dyDescent="0.25">
      <c r="A1" s="80" t="s">
        <v>2052</v>
      </c>
      <c r="B1" s="65"/>
      <c r="C1" s="65"/>
      <c r="D1" s="65"/>
    </row>
    <row r="2" spans="1:4" x14ac:dyDescent="0.25">
      <c r="A2" s="64" t="s">
        <v>1017</v>
      </c>
      <c r="B2" s="65"/>
      <c r="C2" s="65"/>
      <c r="D2" s="65"/>
    </row>
    <row r="3" spans="1:4" ht="6" customHeight="1" x14ac:dyDescent="0.25"/>
    <row r="4" spans="1:4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4" x14ac:dyDescent="0.25">
      <c r="A5" s="29" t="s">
        <v>1018</v>
      </c>
      <c r="B5" s="30" t="s">
        <v>2053</v>
      </c>
      <c r="C5" s="11" t="s">
        <v>206</v>
      </c>
      <c r="D5" s="12" t="s">
        <v>2059</v>
      </c>
    </row>
    <row r="6" spans="1:4" x14ac:dyDescent="0.25">
      <c r="A6" s="29" t="s">
        <v>1019</v>
      </c>
      <c r="B6" s="30" t="s">
        <v>2054</v>
      </c>
      <c r="C6" s="13" t="s">
        <v>206</v>
      </c>
      <c r="D6" s="14" t="s">
        <v>2060</v>
      </c>
    </row>
    <row r="7" spans="1:4" x14ac:dyDescent="0.25">
      <c r="A7" s="29" t="s">
        <v>1020</v>
      </c>
      <c r="B7" s="30">
        <v>1</v>
      </c>
      <c r="C7" s="11" t="s">
        <v>793</v>
      </c>
      <c r="D7" s="12" t="s">
        <v>2061</v>
      </c>
    </row>
    <row r="8" spans="1:4" x14ac:dyDescent="0.25">
      <c r="A8" s="29" t="s">
        <v>1021</v>
      </c>
      <c r="B8" s="30">
        <v>1000</v>
      </c>
      <c r="C8" s="13" t="s">
        <v>206</v>
      </c>
      <c r="D8" s="14" t="s">
        <v>2062</v>
      </c>
    </row>
    <row r="9" spans="1:4" x14ac:dyDescent="0.25">
      <c r="A9" s="29" t="s">
        <v>1022</v>
      </c>
      <c r="B9" s="30" t="s">
        <v>2055</v>
      </c>
      <c r="C9" s="11" t="s">
        <v>206</v>
      </c>
      <c r="D9" s="50" t="s">
        <v>2063</v>
      </c>
    </row>
    <row r="10" spans="1:4" x14ac:dyDescent="0.25">
      <c r="A10" s="29" t="s">
        <v>1023</v>
      </c>
      <c r="B10" s="30" t="s">
        <v>2056</v>
      </c>
      <c r="C10" s="13" t="s">
        <v>206</v>
      </c>
      <c r="D10" s="14" t="s">
        <v>2064</v>
      </c>
    </row>
    <row r="11" spans="1:4" x14ac:dyDescent="0.25">
      <c r="A11" s="29" t="s">
        <v>1024</v>
      </c>
      <c r="B11" s="30" t="s">
        <v>2057</v>
      </c>
      <c r="C11" s="11" t="s">
        <v>206</v>
      </c>
      <c r="D11" s="12" t="s">
        <v>2065</v>
      </c>
    </row>
    <row r="12" spans="1:4" x14ac:dyDescent="0.25">
      <c r="A12" s="29" t="s">
        <v>1025</v>
      </c>
      <c r="B12" s="30" t="s">
        <v>2058</v>
      </c>
      <c r="C12" s="13" t="s">
        <v>206</v>
      </c>
      <c r="D12" s="14" t="s">
        <v>2066</v>
      </c>
    </row>
    <row r="13" spans="1:4" x14ac:dyDescent="0.25">
      <c r="A13" s="29" t="s">
        <v>1026</v>
      </c>
      <c r="B13" s="30" t="s">
        <v>231</v>
      </c>
      <c r="C13" s="11" t="s">
        <v>232</v>
      </c>
      <c r="D13" s="12" t="s">
        <v>2067</v>
      </c>
    </row>
    <row r="14" spans="1:4" x14ac:dyDescent="0.25">
      <c r="A14" s="29" t="s">
        <v>234</v>
      </c>
      <c r="B14" s="30"/>
      <c r="C14" s="13"/>
      <c r="D14" s="14"/>
    </row>
    <row r="15" spans="1:4" x14ac:dyDescent="0.25">
      <c r="A15" s="29" t="s">
        <v>235</v>
      </c>
      <c r="B15" s="30"/>
      <c r="C15" s="11"/>
      <c r="D15" s="12"/>
    </row>
    <row r="17" spans="1:4" ht="15.75" customHeight="1" x14ac:dyDescent="0.25">
      <c r="A17" s="31" t="s">
        <v>236</v>
      </c>
      <c r="C17" s="71" t="str">
        <f>COUNTA(B5:B15)&amp;" of 11 parameters filled"</f>
        <v>9 of 11 parameters filled</v>
      </c>
      <c r="D17" s="65"/>
    </row>
  </sheetData>
  <mergeCells count="3">
    <mergeCell ref="A1:D1"/>
    <mergeCell ref="C17:D17"/>
    <mergeCell ref="A2:D2"/>
  </mergeCells>
  <hyperlinks>
    <hyperlink ref="A17" location="INDEX!A1" display="&lt;&lt; Back to INDEX" xr:uid="{00000000-0004-0000-5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36"/>
  <sheetViews>
    <sheetView showGridLines="0" zoomScale="85" zoomScaleNormal="85" workbookViewId="0">
      <selection activeCell="A16" sqref="A16"/>
    </sheetView>
  </sheetViews>
  <sheetFormatPr defaultColWidth="8.7109375" defaultRowHeight="15" x14ac:dyDescent="0.25"/>
  <cols>
    <col min="1" max="1" width="36" style="1" customWidth="1"/>
    <col min="2" max="2" width="99" style="1" bestFit="1" customWidth="1"/>
    <col min="3" max="3" width="4.140625" style="1" bestFit="1" customWidth="1"/>
    <col min="4" max="4" width="83.85546875" style="1" bestFit="1" customWidth="1"/>
  </cols>
  <sheetData>
    <row r="1" spans="1:5" ht="15.75" x14ac:dyDescent="0.25">
      <c r="A1" s="80" t="s">
        <v>1027</v>
      </c>
      <c r="B1" s="65"/>
      <c r="C1" s="65"/>
      <c r="D1" s="65"/>
      <c r="E1" s="41"/>
    </row>
    <row r="2" spans="1:5" x14ac:dyDescent="0.25">
      <c r="A2" s="64" t="s">
        <v>1028</v>
      </c>
      <c r="B2" s="65"/>
      <c r="C2" s="65"/>
      <c r="D2" s="65"/>
      <c r="E2" s="41"/>
    </row>
    <row r="3" spans="1:5" ht="5.25" customHeight="1" x14ac:dyDescent="0.25">
      <c r="A3" s="41"/>
      <c r="B3" s="41"/>
      <c r="C3" s="41"/>
      <c r="D3" s="41"/>
      <c r="E3" s="41"/>
    </row>
    <row r="4" spans="1:5" x14ac:dyDescent="0.25">
      <c r="A4" s="2" t="s">
        <v>198</v>
      </c>
      <c r="B4" s="2" t="s">
        <v>1078</v>
      </c>
      <c r="C4" s="2" t="s">
        <v>200</v>
      </c>
      <c r="D4" s="2" t="s">
        <v>201</v>
      </c>
      <c r="E4" s="41"/>
    </row>
    <row r="5" spans="1:5" x14ac:dyDescent="0.25">
      <c r="A5" s="29" t="s">
        <v>1029</v>
      </c>
      <c r="B5" s="30">
        <v>25</v>
      </c>
      <c r="C5" s="11" t="s">
        <v>2</v>
      </c>
      <c r="D5" s="12" t="s">
        <v>2074</v>
      </c>
      <c r="E5" s="41"/>
    </row>
    <row r="6" spans="1:5" x14ac:dyDescent="0.25">
      <c r="A6" s="29" t="s">
        <v>848</v>
      </c>
      <c r="B6" s="30" t="s">
        <v>2068</v>
      </c>
      <c r="C6" s="42" t="s">
        <v>206</v>
      </c>
      <c r="D6" s="14" t="s">
        <v>2075</v>
      </c>
      <c r="E6" s="41"/>
    </row>
    <row r="7" spans="1:5" x14ac:dyDescent="0.25">
      <c r="A7" s="29" t="s">
        <v>1030</v>
      </c>
      <c r="B7" s="30" t="s">
        <v>2069</v>
      </c>
      <c r="C7" s="11" t="s">
        <v>206</v>
      </c>
      <c r="D7" s="12" t="s">
        <v>2076</v>
      </c>
      <c r="E7" s="41"/>
    </row>
    <row r="8" spans="1:5" x14ac:dyDescent="0.25">
      <c r="A8" s="29" t="s">
        <v>1031</v>
      </c>
      <c r="B8" s="30" t="s">
        <v>2070</v>
      </c>
      <c r="C8" s="42" t="s">
        <v>206</v>
      </c>
      <c r="D8" s="14" t="s">
        <v>2077</v>
      </c>
      <c r="E8" s="41"/>
    </row>
    <row r="9" spans="1:5" x14ac:dyDescent="0.25">
      <c r="A9" s="29" t="s">
        <v>1032</v>
      </c>
      <c r="B9" s="30" t="s">
        <v>2071</v>
      </c>
      <c r="C9" s="11" t="s">
        <v>206</v>
      </c>
      <c r="D9" s="50" t="s">
        <v>2078</v>
      </c>
      <c r="E9" s="41"/>
    </row>
    <row r="10" spans="1:5" x14ac:dyDescent="0.25">
      <c r="A10" s="29" t="s">
        <v>1033</v>
      </c>
      <c r="B10" s="30" t="s">
        <v>2072</v>
      </c>
      <c r="C10" s="42" t="s">
        <v>206</v>
      </c>
      <c r="D10" s="14" t="s">
        <v>2079</v>
      </c>
      <c r="E10" s="41"/>
    </row>
    <row r="11" spans="1:5" x14ac:dyDescent="0.25">
      <c r="A11" s="29" t="s">
        <v>1034</v>
      </c>
      <c r="B11" s="30">
        <v>15</v>
      </c>
      <c r="C11" s="11" t="s">
        <v>291</v>
      </c>
      <c r="D11" s="12" t="s">
        <v>2080</v>
      </c>
      <c r="E11" s="41"/>
    </row>
    <row r="12" spans="1:5" x14ac:dyDescent="0.25">
      <c r="A12" s="29" t="s">
        <v>1035</v>
      </c>
      <c r="B12" s="30" t="s">
        <v>2073</v>
      </c>
      <c r="C12" s="42" t="s">
        <v>206</v>
      </c>
      <c r="D12" s="14" t="s">
        <v>2081</v>
      </c>
      <c r="E12" s="41"/>
    </row>
    <row r="13" spans="1:5" x14ac:dyDescent="0.25">
      <c r="A13" s="29" t="s">
        <v>234</v>
      </c>
      <c r="B13" s="30"/>
      <c r="C13" s="11"/>
      <c r="D13" s="12"/>
      <c r="E13" s="41"/>
    </row>
    <row r="14" spans="1:5" x14ac:dyDescent="0.25">
      <c r="A14" s="29" t="s">
        <v>235</v>
      </c>
      <c r="B14" s="30"/>
      <c r="C14" s="42"/>
      <c r="D14" s="14"/>
      <c r="E14" s="41"/>
    </row>
    <row r="15" spans="1:5" x14ac:dyDescent="0.25">
      <c r="A15" s="41"/>
      <c r="B15" s="41"/>
      <c r="C15" s="41"/>
      <c r="D15" s="41"/>
      <c r="E15" s="41"/>
    </row>
    <row r="16" spans="1:5" x14ac:dyDescent="0.25">
      <c r="A16" s="31" t="s">
        <v>236</v>
      </c>
      <c r="B16" s="41"/>
      <c r="C16" s="71" t="str">
        <f>COUNTA(B5:B14)&amp;" of 10 parameters filled"</f>
        <v>8 of 10 parameters filled</v>
      </c>
      <c r="D16" s="65"/>
      <c r="E16" s="41"/>
    </row>
    <row r="17" spans="1:5" x14ac:dyDescent="0.25">
      <c r="A17" s="41"/>
      <c r="B17" s="41"/>
      <c r="C17" s="41"/>
      <c r="D17" s="41"/>
      <c r="E17" s="41"/>
    </row>
    <row r="18" spans="1:5" x14ac:dyDescent="0.25">
      <c r="A18" s="41"/>
      <c r="B18" s="41"/>
      <c r="C18" s="41"/>
      <c r="D18" s="41"/>
      <c r="E18" s="41"/>
    </row>
    <row r="19" spans="1:5" x14ac:dyDescent="0.25">
      <c r="A19" s="41"/>
      <c r="B19" s="41"/>
      <c r="C19" s="41"/>
      <c r="D19" s="41"/>
      <c r="E19" s="41"/>
    </row>
    <row r="36" spans="1:1" x14ac:dyDescent="0.25">
      <c r="A36" s="41"/>
    </row>
  </sheetData>
  <mergeCells count="3">
    <mergeCell ref="C16:D16"/>
    <mergeCell ref="A1:D1"/>
    <mergeCell ref="A2:D2"/>
  </mergeCells>
  <hyperlinks>
    <hyperlink ref="A16" location="INDEX!A1" display="&lt;&lt; Back to INDEX" xr:uid="{6B62D74A-1C14-4D26-B351-4BC539C62DE1}"/>
  </hyperlinks>
  <pageMargins left="0.75" right="0.75" top="1" bottom="1" header="0.511811023622047" footer="0.511811023622047"/>
  <pageSetup paperSize="9" orientation="portrait" horizontalDpi="300" verticalDpi="3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19"/>
  <sheetViews>
    <sheetView showGridLines="0" zoomScale="115" zoomScaleNormal="115" workbookViewId="0">
      <selection activeCell="A15" sqref="A15"/>
    </sheetView>
  </sheetViews>
  <sheetFormatPr defaultColWidth="8.7109375" defaultRowHeight="15" x14ac:dyDescent="0.25"/>
  <cols>
    <col min="1" max="1" width="36" style="1" customWidth="1"/>
    <col min="2" max="2" width="117.7109375" style="1" bestFit="1" customWidth="1"/>
    <col min="3" max="3" width="6.7109375" style="1" bestFit="1" customWidth="1"/>
    <col min="4" max="4" width="73.5703125" style="1" bestFit="1" customWidth="1"/>
  </cols>
  <sheetData>
    <row r="1" spans="1:5" ht="15.75" x14ac:dyDescent="0.25">
      <c r="A1" s="80" t="s">
        <v>1036</v>
      </c>
      <c r="B1" s="65"/>
      <c r="C1" s="65"/>
      <c r="D1" s="65"/>
    </row>
    <row r="2" spans="1:5" x14ac:dyDescent="0.25">
      <c r="A2" s="64" t="s">
        <v>1037</v>
      </c>
      <c r="B2" s="65"/>
      <c r="C2" s="65"/>
      <c r="D2" s="65"/>
    </row>
    <row r="3" spans="1:5" ht="7.5" customHeight="1" x14ac:dyDescent="0.25">
      <c r="A3" s="46"/>
      <c r="B3" s="46"/>
      <c r="C3" s="46"/>
      <c r="D3" s="46"/>
    </row>
    <row r="4" spans="1:5" x14ac:dyDescent="0.25">
      <c r="A4" s="2" t="s">
        <v>198</v>
      </c>
      <c r="B4" s="2" t="s">
        <v>1078</v>
      </c>
      <c r="C4" s="2" t="s">
        <v>200</v>
      </c>
      <c r="D4" s="2" t="s">
        <v>201</v>
      </c>
    </row>
    <row r="5" spans="1:5" x14ac:dyDescent="0.25">
      <c r="A5" s="29" t="s">
        <v>1038</v>
      </c>
      <c r="B5" s="30" t="s">
        <v>2082</v>
      </c>
      <c r="C5" s="11" t="s">
        <v>206</v>
      </c>
      <c r="D5" s="12" t="s">
        <v>2088</v>
      </c>
    </row>
    <row r="6" spans="1:5" x14ac:dyDescent="0.25">
      <c r="A6" s="29" t="s">
        <v>1039</v>
      </c>
      <c r="B6" s="30" t="s">
        <v>2083</v>
      </c>
      <c r="C6" s="48" t="s">
        <v>206</v>
      </c>
      <c r="D6" s="14" t="s">
        <v>2089</v>
      </c>
    </row>
    <row r="7" spans="1:5" x14ac:dyDescent="0.25">
      <c r="A7" s="29" t="s">
        <v>1040</v>
      </c>
      <c r="B7" s="30" t="s">
        <v>2084</v>
      </c>
      <c r="C7" s="11" t="s">
        <v>206</v>
      </c>
      <c r="D7" s="12" t="s">
        <v>2090</v>
      </c>
    </row>
    <row r="8" spans="1:5" x14ac:dyDescent="0.25">
      <c r="A8" s="29" t="s">
        <v>1041</v>
      </c>
      <c r="B8" s="30" t="s">
        <v>231</v>
      </c>
      <c r="C8" s="48" t="s">
        <v>232</v>
      </c>
      <c r="D8" s="14" t="s">
        <v>2091</v>
      </c>
    </row>
    <row r="9" spans="1:5" x14ac:dyDescent="0.25">
      <c r="A9" s="29" t="s">
        <v>1042</v>
      </c>
      <c r="B9" s="30" t="s">
        <v>2085</v>
      </c>
      <c r="C9" s="11" t="s">
        <v>206</v>
      </c>
      <c r="D9" s="12" t="s">
        <v>2092</v>
      </c>
    </row>
    <row r="10" spans="1:5" x14ac:dyDescent="0.25">
      <c r="A10" s="29" t="s">
        <v>1043</v>
      </c>
      <c r="B10" s="30" t="s">
        <v>2086</v>
      </c>
      <c r="C10" s="48" t="s">
        <v>206</v>
      </c>
      <c r="D10" s="14" t="s">
        <v>2093</v>
      </c>
    </row>
    <row r="11" spans="1:5" x14ac:dyDescent="0.25">
      <c r="A11" s="29" t="s">
        <v>1044</v>
      </c>
      <c r="B11" s="30" t="s">
        <v>2087</v>
      </c>
      <c r="C11" s="11" t="s">
        <v>206</v>
      </c>
      <c r="D11" s="12" t="s">
        <v>2094</v>
      </c>
    </row>
    <row r="12" spans="1:5" x14ac:dyDescent="0.25">
      <c r="A12" s="29" t="s">
        <v>234</v>
      </c>
      <c r="B12" s="30"/>
      <c r="C12" s="48"/>
      <c r="D12" s="14"/>
    </row>
    <row r="13" spans="1:5" x14ac:dyDescent="0.25">
      <c r="A13" s="29" t="s">
        <v>235</v>
      </c>
      <c r="B13" s="30"/>
      <c r="C13" s="11"/>
      <c r="D13" s="12"/>
    </row>
    <row r="14" spans="1:5" x14ac:dyDescent="0.25">
      <c r="A14" s="46"/>
      <c r="B14" s="46"/>
      <c r="C14" s="46"/>
      <c r="D14" s="46"/>
    </row>
    <row r="15" spans="1:5" x14ac:dyDescent="0.25">
      <c r="A15" s="31" t="s">
        <v>236</v>
      </c>
      <c r="D15" s="54" t="str">
        <f>COUNTA(C5:C13)&amp;" of 9 parameters filled"</f>
        <v>7 of 9 parameters filled</v>
      </c>
      <c r="E15" s="53"/>
    </row>
    <row r="16" spans="1:5" x14ac:dyDescent="0.25">
      <c r="A16" s="46"/>
      <c r="D16" s="53"/>
      <c r="E16" s="53"/>
    </row>
    <row r="17" spans="1:5" x14ac:dyDescent="0.25">
      <c r="A17" s="46"/>
      <c r="D17" s="46"/>
      <c r="E17" s="46"/>
    </row>
    <row r="18" spans="1:5" x14ac:dyDescent="0.25">
      <c r="A18" s="46"/>
      <c r="D18" s="46"/>
      <c r="E18" s="46"/>
    </row>
    <row r="19" spans="1:5" x14ac:dyDescent="0.25">
      <c r="A19" s="46"/>
      <c r="D19" s="46"/>
      <c r="E19" s="46"/>
    </row>
  </sheetData>
  <mergeCells count="2">
    <mergeCell ref="A1:D1"/>
    <mergeCell ref="A2:D2"/>
  </mergeCells>
  <hyperlinks>
    <hyperlink ref="A15" location="INDEX!A1" display="&lt;&lt; Back to INDEX" xr:uid="{CAC762B5-2804-470A-83CD-E66957C469B7}"/>
  </hyperlink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92</vt:i4>
      </vt:variant>
    </vt:vector>
  </HeadingPairs>
  <TitlesOfParts>
    <vt:vector size="92" baseType="lpstr">
      <vt:lpstr>INDEX</vt:lpstr>
      <vt:lpstr>FE-001</vt:lpstr>
      <vt:lpstr>FE-002</vt:lpstr>
      <vt:lpstr>FE-003</vt:lpstr>
      <vt:lpstr>FE-004</vt:lpstr>
      <vt:lpstr>FE-005</vt:lpstr>
      <vt:lpstr>FE-006</vt:lpstr>
      <vt:lpstr>FE-007</vt:lpstr>
      <vt:lpstr>FE-008</vt:lpstr>
      <vt:lpstr>GA-001</vt:lpstr>
      <vt:lpstr>GA-002</vt:lpstr>
      <vt:lpstr>GA-003</vt:lpstr>
      <vt:lpstr>GA-004</vt:lpstr>
      <vt:lpstr>GA-005</vt:lpstr>
      <vt:lpstr>GA-006</vt:lpstr>
      <vt:lpstr>GA-007</vt:lpstr>
      <vt:lpstr>GA-008</vt:lpstr>
      <vt:lpstr>GA-009</vt:lpstr>
      <vt:lpstr>GA-010</vt:lpstr>
      <vt:lpstr>GC-001</vt:lpstr>
      <vt:lpstr>GC-002</vt:lpstr>
      <vt:lpstr>GC-003</vt:lpstr>
      <vt:lpstr>GC-004</vt:lpstr>
      <vt:lpstr>GC-005</vt:lpstr>
      <vt:lpstr>GC-006 </vt:lpstr>
      <vt:lpstr>GC-007</vt:lpstr>
      <vt:lpstr>GC-008</vt:lpstr>
      <vt:lpstr>GC-009</vt:lpstr>
      <vt:lpstr>GC-010</vt:lpstr>
      <vt:lpstr>GC-011</vt:lpstr>
      <vt:lpstr>GC-012</vt:lpstr>
      <vt:lpstr>GC-013</vt:lpstr>
      <vt:lpstr>GC-014</vt:lpstr>
      <vt:lpstr>GC-015</vt:lpstr>
      <vt:lpstr>SA-001</vt:lpstr>
      <vt:lpstr>SA-002</vt:lpstr>
      <vt:lpstr>SA-003</vt:lpstr>
      <vt:lpstr>SA-004</vt:lpstr>
      <vt:lpstr>SA-005</vt:lpstr>
      <vt:lpstr>SA-006</vt:lpstr>
      <vt:lpstr>SA-007</vt:lpstr>
      <vt:lpstr>SA-008</vt:lpstr>
      <vt:lpstr>SA-009</vt:lpstr>
      <vt:lpstr>SA-010</vt:lpstr>
      <vt:lpstr>SA-011</vt:lpstr>
      <vt:lpstr>SA-012</vt:lpstr>
      <vt:lpstr>HB-001</vt:lpstr>
      <vt:lpstr>HB-002</vt:lpstr>
      <vt:lpstr>HB-003</vt:lpstr>
      <vt:lpstr>HB-004</vt:lpstr>
      <vt:lpstr>HB-005</vt:lpstr>
      <vt:lpstr>HB-006</vt:lpstr>
      <vt:lpstr>HB-007</vt:lpstr>
      <vt:lpstr>HB-008</vt:lpstr>
      <vt:lpstr>HB-009</vt:lpstr>
      <vt:lpstr>HB-010</vt:lpstr>
      <vt:lpstr>HB-011</vt:lpstr>
      <vt:lpstr>HB-012</vt:lpstr>
      <vt:lpstr>HB-013</vt:lpstr>
      <vt:lpstr>HB-014</vt:lpstr>
      <vt:lpstr>HB-015</vt:lpstr>
      <vt:lpstr>HB-016</vt:lpstr>
      <vt:lpstr>HB-017</vt:lpstr>
      <vt:lpstr>HB-018</vt:lpstr>
      <vt:lpstr>EU-001</vt:lpstr>
      <vt:lpstr>EU-002</vt:lpstr>
      <vt:lpstr>EU-003</vt:lpstr>
      <vt:lpstr>EU-004</vt:lpstr>
      <vt:lpstr>EU-005</vt:lpstr>
      <vt:lpstr>EU-006</vt:lpstr>
      <vt:lpstr>EU-007</vt:lpstr>
      <vt:lpstr>EU-008</vt:lpstr>
      <vt:lpstr>EU-009</vt:lpstr>
      <vt:lpstr>EU-010</vt:lpstr>
      <vt:lpstr>EU-011</vt:lpstr>
      <vt:lpstr>EU-012</vt:lpstr>
      <vt:lpstr>EU-013</vt:lpstr>
      <vt:lpstr>AI-001</vt:lpstr>
      <vt:lpstr>AI-002</vt:lpstr>
      <vt:lpstr>AI-003</vt:lpstr>
      <vt:lpstr>AI-004</vt:lpstr>
      <vt:lpstr>AI-005</vt:lpstr>
      <vt:lpstr>AI-006</vt:lpstr>
      <vt:lpstr>AI-007</vt:lpstr>
      <vt:lpstr>AI-008</vt:lpstr>
      <vt:lpstr>AI-009</vt:lpstr>
      <vt:lpstr>AI-010</vt:lpstr>
      <vt:lpstr>AI-011</vt:lpstr>
      <vt:lpstr>AI-012</vt:lpstr>
      <vt:lpstr>AI-013</vt:lpstr>
      <vt:lpstr>AI-014</vt:lpstr>
      <vt:lpstr>AI-015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Shahab Nooshmand</cp:lastModifiedBy>
  <cp:revision>0</cp:revision>
  <dcterms:created xsi:type="dcterms:W3CDTF">2026-05-25T13:00:29Z</dcterms:created>
  <dcterms:modified xsi:type="dcterms:W3CDTF">2026-08-21T09:01:53Z</dcterms:modified>
  <dc:language>en-US</dc:language>
</cp:coreProperties>
</file>